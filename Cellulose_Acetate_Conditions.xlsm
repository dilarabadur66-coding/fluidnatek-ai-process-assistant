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b02920395.sharepoint.com/sites/Fluidnatek/Shared Documents/08. APPLICATIONS/01. Projects/01.2. Customers/01. Possible customers/Sefar/"/>
    </mc:Choice>
  </mc:AlternateContent>
  <xr:revisionPtr revIDLastSave="1584" documentId="13_ncr:1_{93EBCF84-E56F-46D6-B322-5668C23BE8F0}" xr6:coauthVersionLast="47" xr6:coauthVersionMax="47" xr10:uidLastSave="{B25C5735-EDFE-47F0-9B1B-840A1C31588D}"/>
  <bookViews>
    <workbookView xWindow="-120" yWindow="-120" windowWidth="29040" windowHeight="15720" activeTab="2" xr2:uid="{6C17087C-07E1-4389-9F2B-30D43890D6BB}"/>
  </bookViews>
  <sheets>
    <sheet name="LISTA DE MATERIALES" sheetId="16" r:id="rId1"/>
    <sheet name="HOJA DE CALCULO" sheetId="15" r:id="rId2"/>
    <sheet name="FORMULAS" sheetId="18" r:id="rId3"/>
    <sheet name="IMPRIMIR" sheetId="14" r:id="rId4"/>
    <sheet name="PARÁMETROS" sheetId="2" r:id="rId5"/>
    <sheet name="PARCHES" sheetId="13" r:id="rId6"/>
    <sheet name="OTROS" sheetId="12" r:id="rId7"/>
    <sheet name="PROCESS GRADE SCALE" sheetId="17" r:id="rId8"/>
  </sheets>
  <definedNames>
    <definedName name="_xlnm._FilterDatabase" localSheetId="3" hidden="1">IMPRIMIR!$A$55:$D$62</definedName>
    <definedName name="_xlnm._FilterDatabase" localSheetId="0" hidden="1">'LISTA DE MATERIALES'!$E$1:$E$929</definedName>
    <definedName name="_xlnm._FilterDatabase" localSheetId="4" hidden="1">PARÁMETROS!$C$2:$Z$2</definedName>
    <definedName name="_xleta.TODAY" hidden="1" xlm="1">#NAME?</definedName>
    <definedName name="Lista">OFFSET('LISTA DE MATERIALES'!#REF!,1,0,COUNTIF('LISTA DE MATERIALES'!XFD1048573:XFD995,"?*"))</definedName>
    <definedName name="LMP">Materiales[#All]</definedName>
    <definedName name="_xlnm.Print_Area" localSheetId="3">IMPRIMIR!$A$1:$F$67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2" i="14" l="1"/>
  <c r="E24" i="14"/>
  <c r="E23" i="14"/>
  <c r="E22" i="14"/>
  <c r="E21" i="14"/>
  <c r="E20" i="14"/>
  <c r="E19" i="14"/>
  <c r="E18" i="14"/>
  <c r="E17" i="14"/>
  <c r="B24" i="14"/>
  <c r="B23" i="14"/>
  <c r="B22" i="14"/>
  <c r="B21" i="14"/>
  <c r="B20" i="14"/>
  <c r="B19" i="14"/>
  <c r="B18" i="14"/>
  <c r="B17" i="14"/>
  <c r="E16" i="14"/>
  <c r="B16" i="14"/>
  <c r="M26" i="15"/>
  <c r="L26" i="15"/>
  <c r="K26" i="15"/>
  <c r="J26" i="15"/>
  <c r="H26" i="15"/>
  <c r="I26" i="15"/>
  <c r="B9" i="15"/>
  <c r="I19" i="15"/>
  <c r="H19" i="15"/>
  <c r="I18" i="15"/>
  <c r="H18" i="15"/>
  <c r="I17" i="15"/>
  <c r="H17" i="15"/>
  <c r="I16" i="15"/>
  <c r="H16" i="15"/>
  <c r="I15" i="15"/>
  <c r="H15" i="15"/>
  <c r="I14" i="15"/>
  <c r="H14" i="15"/>
  <c r="I21" i="15"/>
  <c r="I9" i="15"/>
  <c r="J13" i="15"/>
  <c r="I13" i="15"/>
  <c r="H13" i="15"/>
  <c r="J12" i="15"/>
  <c r="I12" i="15"/>
  <c r="H12" i="15"/>
  <c r="J11" i="15"/>
  <c r="H11" i="15"/>
  <c r="I11" i="15"/>
  <c r="D22" i="14" l="1"/>
  <c r="B12" i="15"/>
  <c r="C14" i="15" l="1"/>
  <c r="C15" i="15"/>
  <c r="C16" i="15"/>
  <c r="C17" i="15"/>
  <c r="C18" i="15"/>
  <c r="C19" i="15"/>
  <c r="B13" i="15"/>
  <c r="C13" i="15" s="1"/>
  <c r="C12" i="15"/>
  <c r="B11" i="15"/>
  <c r="C11" i="15" s="1"/>
  <c r="C10" i="14"/>
  <c r="C9" i="14"/>
  <c r="L17" i="15" l="1"/>
  <c r="L15" i="15"/>
  <c r="L18" i="15"/>
  <c r="L14" i="15"/>
  <c r="K14" i="15"/>
  <c r="L19" i="15"/>
  <c r="L16" i="15"/>
  <c r="K16" i="15"/>
  <c r="K15" i="15"/>
  <c r="I20" i="15"/>
  <c r="J20" i="15" s="1"/>
  <c r="L20" i="15" l="1"/>
  <c r="K20" i="15"/>
  <c r="F7" i="14" l="1"/>
  <c r="G15" i="13"/>
  <c r="H15" i="13" s="1"/>
  <c r="E15" i="13"/>
  <c r="F15" i="13" s="1"/>
  <c r="G13" i="13"/>
  <c r="H13" i="13" s="1"/>
  <c r="E13" i="13"/>
  <c r="D17" i="14" l="1"/>
  <c r="D16" i="14" l="1"/>
  <c r="D19" i="14"/>
  <c r="D20" i="14"/>
  <c r="D21" i="14"/>
  <c r="F19" i="15"/>
  <c r="F18" i="15"/>
  <c r="F17" i="15"/>
  <c r="F16" i="15"/>
  <c r="E16" i="15"/>
  <c r="F15" i="15"/>
  <c r="E15" i="15"/>
  <c r="F14" i="15"/>
  <c r="E14" i="15"/>
  <c r="F23" i="14"/>
  <c r="F22" i="14"/>
  <c r="F21" i="14"/>
  <c r="F20" i="14"/>
  <c r="F19" i="14"/>
  <c r="F18" i="14"/>
  <c r="F17" i="14"/>
  <c r="D23" i="14" l="1"/>
  <c r="D18" i="14"/>
  <c r="D24" i="14"/>
  <c r="F24" i="14"/>
  <c r="K20" i="13"/>
  <c r="L20" i="13" s="1"/>
  <c r="G20" i="13"/>
  <c r="H20" i="13" s="1"/>
  <c r="G11" i="13"/>
  <c r="H11" i="13" s="1"/>
  <c r="F13" i="13" l="1"/>
  <c r="E11" i="13"/>
  <c r="F11" i="13" s="1"/>
  <c r="B14" i="13" l="1"/>
  <c r="B15" i="13" s="1"/>
  <c r="B13" i="13"/>
  <c r="B18" i="13" s="1"/>
  <c r="B20" i="13" s="1"/>
  <c r="B10" i="13"/>
  <c r="F23" i="13" l="1"/>
  <c r="G23" i="13"/>
  <c r="B21" i="13"/>
  <c r="B24" i="13"/>
  <c r="B26" i="13" l="1"/>
  <c r="B27" i="13" s="1"/>
  <c r="B25" i="13"/>
  <c r="E25" i="14" l="1"/>
  <c r="F16" i="14"/>
  <c r="C20" i="15" l="1"/>
  <c r="B20" i="15"/>
  <c r="D20" i="15" s="1"/>
  <c r="F20" i="15" l="1"/>
  <c r="E20"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tc={546B664A-B12C-4F0B-B768-1727D24063A4}</author>
  </authors>
  <commentList>
    <comment ref="E2" authorId="0" shapeId="0" xr:uid="{546B664A-B12C-4F0B-B768-1727D24063A4}">
      <text>
        <t>[Threaded comment]
Your version of Excel allows you to read this threaded comment; however, any edits to it will get removed if the file is opened in a newer version of Excel. Learn more: https://go.microsoft.com/fwlink/?linkid=870924
Comment:
    Una vez tengamos nuestro inventario actualizado, tenemos que reemplazar esta lista por la nuestra.</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3">
    <bk>
      <extLst>
        <ext uri="{3e2802c4-a4d2-4d8b-9148-e3be6c30e623}">
          <xlrd:rvb i="0"/>
        </ext>
      </extLst>
    </bk>
    <bk>
      <extLst>
        <ext uri="{3e2802c4-a4d2-4d8b-9148-e3be6c30e623}">
          <xlrd:rvb i="1"/>
        </ext>
      </extLst>
    </bk>
    <bk>
      <extLst>
        <ext uri="{3e2802c4-a4d2-4d8b-9148-e3be6c30e623}">
          <xlrd:rvb i="2"/>
        </ext>
      </extLst>
    </bk>
  </futureMetadata>
  <valueMetadata count="3">
    <bk>
      <rc t="1" v="0"/>
    </bk>
    <bk>
      <rc t="1" v="1"/>
    </bk>
    <bk>
      <rc t="1" v="2"/>
    </bk>
  </valueMetadata>
</metadata>
</file>

<file path=xl/sharedStrings.xml><?xml version="1.0" encoding="utf-8"?>
<sst xmlns="http://schemas.openxmlformats.org/spreadsheetml/2006/main" count="2532" uniqueCount="1682">
  <si>
    <t xml:space="preserve"> #</t>
  </si>
  <si>
    <t>Lista de materiales para el proyecto</t>
  </si>
  <si>
    <t>Nº de artículo</t>
  </si>
  <si>
    <t>Note:</t>
  </si>
  <si>
    <t>Descripción</t>
  </si>
  <si>
    <t>Select the materials and copy in the left table</t>
  </si>
  <si>
    <t>METANOL</t>
  </si>
  <si>
    <t>1100001</t>
  </si>
  <si>
    <t>PES</t>
  </si>
  <si>
    <t>DIMETHYL FORMAMIDE</t>
  </si>
  <si>
    <t>1100002</t>
  </si>
  <si>
    <t>DMAc</t>
  </si>
  <si>
    <t>DMF Producción</t>
  </si>
  <si>
    <t>1100003</t>
  </si>
  <si>
    <t>DRUM</t>
  </si>
  <si>
    <t>INYECTOR</t>
  </si>
  <si>
    <t>GAUGE</t>
  </si>
  <si>
    <t>BRAZO ARTICULADO/DEFLECTORES</t>
  </si>
  <si>
    <t>SDS</t>
  </si>
  <si>
    <t>DMF LABBOX</t>
  </si>
  <si>
    <t>1100004</t>
  </si>
  <si>
    <t>S</t>
  </si>
  <si>
    <t>Inyector5</t>
  </si>
  <si>
    <t>16"</t>
  </si>
  <si>
    <t>Si</t>
  </si>
  <si>
    <t>ACETONE</t>
  </si>
  <si>
    <t>1100005</t>
  </si>
  <si>
    <t>M</t>
  </si>
  <si>
    <t>Flauta5</t>
  </si>
  <si>
    <t>18"</t>
  </si>
  <si>
    <t>No</t>
  </si>
  <si>
    <t>DCM</t>
  </si>
  <si>
    <t>ACETONE PANREAC</t>
  </si>
  <si>
    <t>1100006</t>
  </si>
  <si>
    <t>L</t>
  </si>
  <si>
    <t>Flauta15</t>
  </si>
  <si>
    <t>20"</t>
  </si>
  <si>
    <t>ACETONE MERK</t>
  </si>
  <si>
    <t>1100007</t>
  </si>
  <si>
    <t>Flauta23</t>
  </si>
  <si>
    <t>22"</t>
  </si>
  <si>
    <t>ACETONE R+D/CLEANING PANREAC</t>
  </si>
  <si>
    <t>1100008</t>
  </si>
  <si>
    <t>Inyector1</t>
  </si>
  <si>
    <t>25"</t>
  </si>
  <si>
    <t>PVDF-COPO-ARKEMA (PVDF PRODUCCION)</t>
  </si>
  <si>
    <t>1100009</t>
  </si>
  <si>
    <t>27"</t>
  </si>
  <si>
    <t>ZINC OXIDE CR-4 USP 5 (PRODUCCIÓN)</t>
  </si>
  <si>
    <t>1100010</t>
  </si>
  <si>
    <t>ANISOLE SIGMA ALDRICH PRODUCCION</t>
  </si>
  <si>
    <t>1100011</t>
  </si>
  <si>
    <t>ANISOLE QUIMIDROGA</t>
  </si>
  <si>
    <t>1100012</t>
  </si>
  <si>
    <t>PEO PROD COLORCON</t>
  </si>
  <si>
    <t>PCL 6800 D PRODUCCION</t>
  </si>
  <si>
    <t>1100014</t>
  </si>
  <si>
    <t>PVP 90F PROD</t>
  </si>
  <si>
    <t>1100015</t>
  </si>
  <si>
    <t>AGUA DESIO PROD</t>
  </si>
  <si>
    <t>EUDRAGIT RS100 PROD</t>
  </si>
  <si>
    <t>1100017</t>
  </si>
  <si>
    <t>ETANOL PROD</t>
  </si>
  <si>
    <t>1100018</t>
  </si>
  <si>
    <t>BUTANOL PROD</t>
  </si>
  <si>
    <t>1100019</t>
  </si>
  <si>
    <t>OXIDO DE HIERRO PROQUIMAC PROD</t>
  </si>
  <si>
    <t>1100020</t>
  </si>
  <si>
    <t>OXIDO DE HIERRO SIGMA ALDRICH PROD</t>
  </si>
  <si>
    <t>1100021</t>
  </si>
  <si>
    <t>CLOBETASOL PROPIONATE CRYSTAL PHARMA PROD</t>
  </si>
  <si>
    <t>1100022</t>
  </si>
  <si>
    <t>CLOBETASOL PROPIONATE TEVA PROD</t>
  </si>
  <si>
    <t>1100023</t>
  </si>
  <si>
    <t>PHBW PELLETS PROD</t>
  </si>
  <si>
    <t>1100024</t>
  </si>
  <si>
    <t>2,2,2-TRIFLUOROETHANOL PROD</t>
  </si>
  <si>
    <t>1100025</t>
  </si>
  <si>
    <t>CTAB PROD</t>
  </si>
  <si>
    <t>1100026</t>
  </si>
  <si>
    <t>RESOM C217 PROD</t>
  </si>
  <si>
    <t>1100027</t>
  </si>
  <si>
    <t>TRIFLUOROACETIC ACID (TFA) QUIMIDROGA</t>
  </si>
  <si>
    <t>1100028</t>
  </si>
  <si>
    <t>WHEY PROTEIN CONCENTRATE i80</t>
  </si>
  <si>
    <t>1100029</t>
  </si>
  <si>
    <t>PVDF2821 NG-(PVDF PRODUCCION)</t>
  </si>
  <si>
    <t>1100030</t>
  </si>
  <si>
    <t>MALTODEXTRINA</t>
  </si>
  <si>
    <t>1100031</t>
  </si>
  <si>
    <t>GLUCIDEX39 ROQUETTE</t>
  </si>
  <si>
    <t>1100032</t>
  </si>
  <si>
    <t>BARTENSID SML-E 756G5T</t>
  </si>
  <si>
    <t>1100033</t>
  </si>
  <si>
    <t>ACEITE DE ALGAS REFINADO</t>
  </si>
  <si>
    <t>1100034</t>
  </si>
  <si>
    <t>POLYOX WSR 1105</t>
  </si>
  <si>
    <t>1100035</t>
  </si>
  <si>
    <t>TBP 10% TREALOSA</t>
  </si>
  <si>
    <t>1100036</t>
  </si>
  <si>
    <t>GLIADIN 33MER</t>
  </si>
  <si>
    <t>1100037</t>
  </si>
  <si>
    <t>MALTODEXTRINA CEYLAN (GLUCIDEX IT12)</t>
  </si>
  <si>
    <t>1100038</t>
  </si>
  <si>
    <t>ALMIDON CEYLAN (CLEARGUM CO01)</t>
  </si>
  <si>
    <t>1100039</t>
  </si>
  <si>
    <t>ESENCIA CHAMPIÑON CEYLAN</t>
  </si>
  <si>
    <t>1100040</t>
  </si>
  <si>
    <t>CLOROFORMO GRADO FARMA</t>
  </si>
  <si>
    <t>1100041</t>
  </si>
  <si>
    <t>RESOM C212</t>
  </si>
  <si>
    <t>1100042</t>
  </si>
  <si>
    <t>2-PROPANOL</t>
  </si>
  <si>
    <t>1200001</t>
  </si>
  <si>
    <t>ACIDO ACETICO</t>
  </si>
  <si>
    <t>1200002</t>
  </si>
  <si>
    <t>ANISOLE</t>
  </si>
  <si>
    <t>1200003</t>
  </si>
  <si>
    <t>ANISOLE SIGMA ALDRICH</t>
  </si>
  <si>
    <t>1200004</t>
  </si>
  <si>
    <t>1200005</t>
  </si>
  <si>
    <t>BOBINA ALUMINIO ENVASADO PATCH</t>
  </si>
  <si>
    <t>1200006</t>
  </si>
  <si>
    <t>BETA-CAROTENO CORALIM</t>
  </si>
  <si>
    <t>1200007</t>
  </si>
  <si>
    <t>TRICHLOROACETIC ACID 98% PANREAC</t>
  </si>
  <si>
    <t>1200008</t>
  </si>
  <si>
    <t>TRIFLUOROACETIC ACID PANREAC</t>
  </si>
  <si>
    <t>1200009</t>
  </si>
  <si>
    <t>CARBOSIL 20 90 POLYMER SOLUTION IN DMF/THF 80:20</t>
  </si>
  <si>
    <t>1200010</t>
  </si>
  <si>
    <t>CARBOSIL 20 90 POLYMER</t>
  </si>
  <si>
    <t>1200011</t>
  </si>
  <si>
    <t>STRONTIUM NITRATE</t>
  </si>
  <si>
    <t>1200012</t>
  </si>
  <si>
    <t>SILOXANE</t>
  </si>
  <si>
    <t>1200013</t>
  </si>
  <si>
    <t>ALUMINIUM CHLORIDE HYDRATE POWDER</t>
  </si>
  <si>
    <t>1200014</t>
  </si>
  <si>
    <t>ALUMINIUM CHLORIDE HYDRATE SOLUTION</t>
  </si>
  <si>
    <t>1200015</t>
  </si>
  <si>
    <t>SILICON OXYDE LUDOX CL</t>
  </si>
  <si>
    <t>1200016</t>
  </si>
  <si>
    <t>PEO POLYOX 303</t>
  </si>
  <si>
    <t>1200017</t>
  </si>
  <si>
    <t>PEO POLYOX N750</t>
  </si>
  <si>
    <t>1200018</t>
  </si>
  <si>
    <t>POLYVIDONE KOLLIDON 30 BASF</t>
  </si>
  <si>
    <t>1200019</t>
  </si>
  <si>
    <t>POLYVIDONE KOLLIDON 25 BASF</t>
  </si>
  <si>
    <t>1200020</t>
  </si>
  <si>
    <t>ETHYL FORMATE SIGMA-ALDRICH</t>
  </si>
  <si>
    <t>1200021</t>
  </si>
  <si>
    <t>METHYL ACETATE MERCK</t>
  </si>
  <si>
    <t>1200022</t>
  </si>
  <si>
    <t>FLUO HTG MICRO POWDERS</t>
  </si>
  <si>
    <t>1200023</t>
  </si>
  <si>
    <t>FLUO HT-LS MICRO POWDERS</t>
  </si>
  <si>
    <t>1200024</t>
  </si>
  <si>
    <t>POLYVIDONE 1.3M SIGMA ALDRICH</t>
  </si>
  <si>
    <t>1200025</t>
  </si>
  <si>
    <t>ALUMINIUM ACETATE, BASIC HYDRATE ALFA AESAR</t>
  </si>
  <si>
    <t>1200026</t>
  </si>
  <si>
    <t>FORMIC ACID, 97% ALFA AESAR</t>
  </si>
  <si>
    <t>1200027</t>
  </si>
  <si>
    <t>ISOPROPYL ACETATE PANREAC</t>
  </si>
  <si>
    <t>1200028</t>
  </si>
  <si>
    <t>ISOBUTANOL PANREAC</t>
  </si>
  <si>
    <t>1200029</t>
  </si>
  <si>
    <t>ISOPROPANOL SIGMA ALDRICH</t>
  </si>
  <si>
    <t>1200030</t>
  </si>
  <si>
    <t>PET CLIENT</t>
  </si>
  <si>
    <t>1200031</t>
  </si>
  <si>
    <t>METHYLETHYLKETONE (MEK) PANREAC</t>
  </si>
  <si>
    <t>1200032</t>
  </si>
  <si>
    <t>FORMIC ACID, 98% SCHARLAU</t>
  </si>
  <si>
    <t>1200033</t>
  </si>
  <si>
    <t>RED CONINOR E-172 PROQUIMAC</t>
  </si>
  <si>
    <t>1200034</t>
  </si>
  <si>
    <t>BLACK CONINOR E-172 PROQUIMAC</t>
  </si>
  <si>
    <t>1200035</t>
  </si>
  <si>
    <t>ISOPROPANOL PANREAC</t>
  </si>
  <si>
    <t>1200036</t>
  </si>
  <si>
    <t>ETHYL ACETATE PANREAC</t>
  </si>
  <si>
    <t>1200037</t>
  </si>
  <si>
    <t>PURASORB CLIENT</t>
  </si>
  <si>
    <t>1200038</t>
  </si>
  <si>
    <t>HEXAFLUOROISOPROPANOL CLIENT</t>
  </si>
  <si>
    <t>1200039</t>
  </si>
  <si>
    <t>DIOXAPRENE 100M FILM CLIENT</t>
  </si>
  <si>
    <t>1200040</t>
  </si>
  <si>
    <t>DIOXAPRENE 100M GROUND CLIENT</t>
  </si>
  <si>
    <t>1200041</t>
  </si>
  <si>
    <t>STRATAPRENE 3534 CLIENT</t>
  </si>
  <si>
    <t>1200042</t>
  </si>
  <si>
    <t>MAX-PRENE 910 GROUND CLIENT</t>
  </si>
  <si>
    <t>1200043</t>
  </si>
  <si>
    <t>POLYCAPROLACTONE RESOMER 100 CL 12E EVONIK</t>
  </si>
  <si>
    <t>1200044</t>
  </si>
  <si>
    <t>POLYCAPROLACTONE RESOMER 100 CL 4E EVONIK</t>
  </si>
  <si>
    <t>1200045</t>
  </si>
  <si>
    <t>DIMETHYL SULFOXIDE SIGMA ALDRICH</t>
  </si>
  <si>
    <t>1200046</t>
  </si>
  <si>
    <t>TETRAHYDROFURAN PANREAC</t>
  </si>
  <si>
    <t>1200047</t>
  </si>
  <si>
    <t>DIMETHYLFORMAMIDE PANREAC</t>
  </si>
  <si>
    <t>1200048</t>
  </si>
  <si>
    <t>2-BUTANOL PANREAC</t>
  </si>
  <si>
    <t>1200049</t>
  </si>
  <si>
    <t>1-PROPANOL PANREAC</t>
  </si>
  <si>
    <t>1200050</t>
  </si>
  <si>
    <t>POLYVINYL ALCOHOL (COLD) CLIENT</t>
  </si>
  <si>
    <t>1200051</t>
  </si>
  <si>
    <t>PLGA RESOMER RG 503 H 25G</t>
  </si>
  <si>
    <t>1200052</t>
  </si>
  <si>
    <t>FLUORESCEIN ISOTHIOCYANATE ISOMER SIGMA ALDRICH</t>
  </si>
  <si>
    <t>1200053</t>
  </si>
  <si>
    <t>POLY(VINYL ALCHOHOL) 130,000 SIGMA ALDRICH</t>
  </si>
  <si>
    <t>1200054</t>
  </si>
  <si>
    <t>CARRAGEENAN SIGMA ALDRICH</t>
  </si>
  <si>
    <t>1200055</t>
  </si>
  <si>
    <t>NITROFURANTOIN SIGMA ALDRICH</t>
  </si>
  <si>
    <t>1200056</t>
  </si>
  <si>
    <t>POLYVINYLALCOHOL (PVOH-PVA) PLASTICOS HIDROSOLUBLES</t>
  </si>
  <si>
    <t>1200057</t>
  </si>
  <si>
    <t>SODIUM ALGINATE SIGMA ALDRICH</t>
  </si>
  <si>
    <t>1200058</t>
  </si>
  <si>
    <t>GUAR GUM SIGMA ALDRICH</t>
  </si>
  <si>
    <t>1200059</t>
  </si>
  <si>
    <t>PECTIN BIOSYNTH GUINAMA</t>
  </si>
  <si>
    <t>1200060</t>
  </si>
  <si>
    <t>HPMC 50 CP SIGMA ALDRICH</t>
  </si>
  <si>
    <t>1200061</t>
  </si>
  <si>
    <t>HPMC 100 CP SIGMA ALDRICH</t>
  </si>
  <si>
    <t>1200062</t>
  </si>
  <si>
    <t>POLYLACTIC ACID NATURPLAST</t>
  </si>
  <si>
    <t>1200063</t>
  </si>
  <si>
    <t>OLIVE FRUIT POLYPHENOLS POLYHEALTH</t>
  </si>
  <si>
    <t>1200064</t>
  </si>
  <si>
    <t>CHLOROFORM ANHYDROUS 99%</t>
  </si>
  <si>
    <t>1200065</t>
  </si>
  <si>
    <t>CELLULOSE ACETATE SIGMA ALDRICH</t>
  </si>
  <si>
    <t>1200066</t>
  </si>
  <si>
    <t>2 CHLORO-N,N-DIETHYLAMINE HYDROCHORIDE 99% SIGMA ALDRICH</t>
  </si>
  <si>
    <t>1200067</t>
  </si>
  <si>
    <t>POLYACRYLONITRILE SIGMA ALDRICH</t>
  </si>
  <si>
    <t>1200068</t>
  </si>
  <si>
    <t>POLY(ETHYLENE OXIDE) SIGMA ALDRICH</t>
  </si>
  <si>
    <t>1200069</t>
  </si>
  <si>
    <t>TRIFLUOROACETIC ACID 99%</t>
  </si>
  <si>
    <t>1200070</t>
  </si>
  <si>
    <t>PVP MW 3500 K12</t>
  </si>
  <si>
    <t>1200071</t>
  </si>
  <si>
    <t>AQUABEAD 425E</t>
  </si>
  <si>
    <t>1200072</t>
  </si>
  <si>
    <t>MIICROSPERSION HT</t>
  </si>
  <si>
    <t>1200073</t>
  </si>
  <si>
    <t>PVP MW 8000 K16-18</t>
  </si>
  <si>
    <t>1200074</t>
  </si>
  <si>
    <t>METHANOL GRADIENT GRADE HPLC. MERK</t>
  </si>
  <si>
    <t>1200075</t>
  </si>
  <si>
    <t>POLYACRYLONITRILE CARBOSYNTH</t>
  </si>
  <si>
    <t>1200076</t>
  </si>
  <si>
    <t>PGSA GECKO</t>
  </si>
  <si>
    <t>1200077</t>
  </si>
  <si>
    <t>METANOL HPLC LABKEM</t>
  </si>
  <si>
    <t>1200078</t>
  </si>
  <si>
    <t>PCL LOW MOLECULAR WEIGHT SIGMA-ALDRICH</t>
  </si>
  <si>
    <t>1200079</t>
  </si>
  <si>
    <t>HFIP BISOLVE</t>
  </si>
  <si>
    <t>1200080</t>
  </si>
  <si>
    <t>DIMETHYL SULFOXIDE PASCUAL Y FURIO</t>
  </si>
  <si>
    <t>1200081</t>
  </si>
  <si>
    <t>PTFE NANOPOWER 400NM NANOSHEL</t>
  </si>
  <si>
    <t>1200082</t>
  </si>
  <si>
    <t>PLGA+COURMARIN 6 (CORE)</t>
  </si>
  <si>
    <t>1200083</t>
  </si>
  <si>
    <t>PCL+RHODAMINE B (SHELL)</t>
  </si>
  <si>
    <t>1200084</t>
  </si>
  <si>
    <t>CHLOROFORM AMYLENES (100-200 PPM)</t>
  </si>
  <si>
    <t>1200085</t>
  </si>
  <si>
    <t>PULLULAN CARBOSYNTH</t>
  </si>
  <si>
    <t>1200086</t>
  </si>
  <si>
    <t>AEROSIL 200 PHARMA EVONIK</t>
  </si>
  <si>
    <t>1200087</t>
  </si>
  <si>
    <t>POVIDONE (PVP) K300 POWDER</t>
  </si>
  <si>
    <t>1200088</t>
  </si>
  <si>
    <t>POLYPLASDONE XL</t>
  </si>
  <si>
    <t>1200089</t>
  </si>
  <si>
    <t>CAPSUGEL (CONI-SNAP)</t>
  </si>
  <si>
    <t>1200090</t>
  </si>
  <si>
    <t>VALSARTAN</t>
  </si>
  <si>
    <t>1200091</t>
  </si>
  <si>
    <t>ANYCOAT-C HYPROMELLOSE</t>
  </si>
  <si>
    <t>1200092</t>
  </si>
  <si>
    <t>AVICEL PH101</t>
  </si>
  <si>
    <t>1200093</t>
  </si>
  <si>
    <t>S-LEC KS-10</t>
  </si>
  <si>
    <t>1200094</t>
  </si>
  <si>
    <t>PKHP-200</t>
  </si>
  <si>
    <t>1200095</t>
  </si>
  <si>
    <t>ARADUR 5200 US</t>
  </si>
  <si>
    <t>1200096</t>
  </si>
  <si>
    <t>ARADUR 9719-1</t>
  </si>
  <si>
    <t>1200097</t>
  </si>
  <si>
    <t>ACIDO TRICLOROACETICO</t>
  </si>
  <si>
    <t>1200098</t>
  </si>
  <si>
    <t>SILICE PIROGENICO</t>
  </si>
  <si>
    <t>1200099</t>
  </si>
  <si>
    <t>NIPAM</t>
  </si>
  <si>
    <t>1200100</t>
  </si>
  <si>
    <t>ZEIN SIGMA ALDRICH</t>
  </si>
  <si>
    <t>1200101</t>
  </si>
  <si>
    <t>WHEY PROTEIN 80% DAVISCO</t>
  </si>
  <si>
    <t>1200102</t>
  </si>
  <si>
    <t>WP-BEU 80% BEURRESPA</t>
  </si>
  <si>
    <t>1200103</t>
  </si>
  <si>
    <t>MEK TECHINICAL</t>
  </si>
  <si>
    <t>1200104</t>
  </si>
  <si>
    <t>PEO 900.000 MV</t>
  </si>
  <si>
    <t>1200105</t>
  </si>
  <si>
    <t>ACETIC ACID</t>
  </si>
  <si>
    <t>1200106</t>
  </si>
  <si>
    <t>PROPANOL</t>
  </si>
  <si>
    <t>1200107</t>
  </si>
  <si>
    <t>ZIRCONIUM PROPOXIDE</t>
  </si>
  <si>
    <t>1200108</t>
  </si>
  <si>
    <t>NITRATE YTRIUM</t>
  </si>
  <si>
    <t>1200109</t>
  </si>
  <si>
    <t>METHOXY PROPANOL</t>
  </si>
  <si>
    <t>1200110</t>
  </si>
  <si>
    <t>DOPAMINE HYDROCHLORIDE</t>
  </si>
  <si>
    <t>1200111</t>
  </si>
  <si>
    <t>GELATINTYPE A</t>
  </si>
  <si>
    <t>1200112</t>
  </si>
  <si>
    <t>2,2,2 TRIFLUROETHANOL</t>
  </si>
  <si>
    <t>1200113</t>
  </si>
  <si>
    <t>SPAN-20</t>
  </si>
  <si>
    <t>1200114</t>
  </si>
  <si>
    <t>POLY-LYSINE</t>
  </si>
  <si>
    <t>1200115</t>
  </si>
  <si>
    <t>PLC7015</t>
  </si>
  <si>
    <t>1200116</t>
  </si>
  <si>
    <t>WP-BEU 80% 20KG</t>
  </si>
  <si>
    <t>1200117</t>
  </si>
  <si>
    <t>EPA 80%</t>
  </si>
  <si>
    <t>1200118</t>
  </si>
  <si>
    <t>N, N-DIMETHYLACETAMIDE GRADO HPLC</t>
  </si>
  <si>
    <t>1200119</t>
  </si>
  <si>
    <t>1, 4- DIOXANE 99,8%</t>
  </si>
  <si>
    <t>1200120</t>
  </si>
  <si>
    <t>1, 4- DIOXANE 99,0%</t>
  </si>
  <si>
    <t>1200121</t>
  </si>
  <si>
    <t>N, N DIMETHYLACETAMIDE</t>
  </si>
  <si>
    <t>1200122</t>
  </si>
  <si>
    <t>2-BUTANONE HPLC</t>
  </si>
  <si>
    <t>1200123</t>
  </si>
  <si>
    <t>PULLULAN (FOOD GRADE)</t>
  </si>
  <si>
    <t>1200124</t>
  </si>
  <si>
    <t>R-2A AGAR</t>
  </si>
  <si>
    <t>1200125</t>
  </si>
  <si>
    <t>REMYPRO N80+ G</t>
  </si>
  <si>
    <t>1200126</t>
  </si>
  <si>
    <t>ACETONITRILO</t>
  </si>
  <si>
    <t>1200127</t>
  </si>
  <si>
    <t>AMMONIUM CARBONATE</t>
  </si>
  <si>
    <t>1200128</t>
  </si>
  <si>
    <t>PCL LOW 45.000</t>
  </si>
  <si>
    <t>1200129</t>
  </si>
  <si>
    <t>ACETIC ACID GLACIAL (PHEUR)</t>
  </si>
  <si>
    <t>1200130</t>
  </si>
  <si>
    <t>PULLULAN SHANDONG</t>
  </si>
  <si>
    <t>1200131</t>
  </si>
  <si>
    <t>TWEEN 80</t>
  </si>
  <si>
    <t>1200132</t>
  </si>
  <si>
    <t>HPMC</t>
  </si>
  <si>
    <t>1200133</t>
  </si>
  <si>
    <t>SPAN</t>
  </si>
  <si>
    <t>1200134</t>
  </si>
  <si>
    <t>TETRAHYDROFURANO</t>
  </si>
  <si>
    <t>1200135</t>
  </si>
  <si>
    <t>DICHLOROMETHANE STABILIZED</t>
  </si>
  <si>
    <t>1200136</t>
  </si>
  <si>
    <t>HFIP FC</t>
  </si>
  <si>
    <t>THF INHIBITOR-FREE</t>
  </si>
  <si>
    <t>1200138</t>
  </si>
  <si>
    <t>BROMURO DE LITIO</t>
  </si>
  <si>
    <t>1200139</t>
  </si>
  <si>
    <t>PULLULAN COSMETIC GRADE</t>
  </si>
  <si>
    <t>1200140</t>
  </si>
  <si>
    <t>PVA PARTECK</t>
  </si>
  <si>
    <t>1200141</t>
  </si>
  <si>
    <t>HA SERUM</t>
  </si>
  <si>
    <t>1200142</t>
  </si>
  <si>
    <t>PDL20</t>
  </si>
  <si>
    <t>1200143</t>
  </si>
  <si>
    <t>PL18</t>
  </si>
  <si>
    <t>1200144</t>
  </si>
  <si>
    <t>PLG8523</t>
  </si>
  <si>
    <t>1200145</t>
  </si>
  <si>
    <t>EVA</t>
  </si>
  <si>
    <t>1200146</t>
  </si>
  <si>
    <t>AIRCARBON</t>
  </si>
  <si>
    <t>1200147</t>
  </si>
  <si>
    <t>BUTYLATED HYDROXYANISOLE</t>
  </si>
  <si>
    <t>1200148</t>
  </si>
  <si>
    <t>SODIUM FLUORIDE</t>
  </si>
  <si>
    <t>1200149</t>
  </si>
  <si>
    <t>VERDE MALAQUITA</t>
  </si>
  <si>
    <t>1200150</t>
  </si>
  <si>
    <t>SOLUCIÃ“N QUITINA 2%</t>
  </si>
  <si>
    <t>1200151</t>
  </si>
  <si>
    <t>MOWIOL 18-88</t>
  </si>
  <si>
    <t>1200152</t>
  </si>
  <si>
    <t>GELATINA G9391</t>
  </si>
  <si>
    <t>1200153</t>
  </si>
  <si>
    <t>PEO1000000 D</t>
  </si>
  <si>
    <t>1200154</t>
  </si>
  <si>
    <t>PECTIN FCP</t>
  </si>
  <si>
    <t>1200155</t>
  </si>
  <si>
    <t>PVP 40000</t>
  </si>
  <si>
    <t>1200156</t>
  </si>
  <si>
    <t>GELATIN NEOMODULUS</t>
  </si>
  <si>
    <t>1200157</t>
  </si>
  <si>
    <t>PLDL7038</t>
  </si>
  <si>
    <t>1200158</t>
  </si>
  <si>
    <t>BARIUM CHLORIDE 2-H</t>
  </si>
  <si>
    <t>1200159</t>
  </si>
  <si>
    <t>DHA 40RBO ALGAL</t>
  </si>
  <si>
    <t>1200160</t>
  </si>
  <si>
    <t>OMEGATEX</t>
  </si>
  <si>
    <t>1200161</t>
  </si>
  <si>
    <t>VIOLET CRISTAL</t>
  </si>
  <si>
    <t>1200162</t>
  </si>
  <si>
    <t>CIPROFLOXACINO</t>
  </si>
  <si>
    <t>1200163</t>
  </si>
  <si>
    <t>METRONIDAZOL</t>
  </si>
  <si>
    <t>1200164</t>
  </si>
  <si>
    <t>CARVEDILOL</t>
  </si>
  <si>
    <t>1200165</t>
  </si>
  <si>
    <t>PURASORB PLC8516</t>
  </si>
  <si>
    <t>1200166</t>
  </si>
  <si>
    <t>1200167</t>
  </si>
  <si>
    <t>PA</t>
  </si>
  <si>
    <t>1200168</t>
  </si>
  <si>
    <t>ROPINIROL</t>
  </si>
  <si>
    <t>1200169</t>
  </si>
  <si>
    <t>1200170</t>
  </si>
  <si>
    <t>PDLG 5010</t>
  </si>
  <si>
    <t>1200171</t>
  </si>
  <si>
    <t>PEO 4000000</t>
  </si>
  <si>
    <t>1200172</t>
  </si>
  <si>
    <t>PEO-300000 COSM</t>
  </si>
  <si>
    <t>1200173</t>
  </si>
  <si>
    <t>PEO 300000 UNIVAR</t>
  </si>
  <si>
    <t>1200174</t>
  </si>
  <si>
    <t>POLYETHILEBNE TEREPHTALATE</t>
  </si>
  <si>
    <t>1200175</t>
  </si>
  <si>
    <t>PEOR400X (NO FARMA PEO200K)</t>
  </si>
  <si>
    <t>1200176</t>
  </si>
  <si>
    <t>APOMORFINA</t>
  </si>
  <si>
    <t>1200177</t>
  </si>
  <si>
    <t>INSULINA</t>
  </si>
  <si>
    <t>1200178</t>
  </si>
  <si>
    <t>PEO (DMA)</t>
  </si>
  <si>
    <t>1200179</t>
  </si>
  <si>
    <t>PL38</t>
  </si>
  <si>
    <t>1200180</t>
  </si>
  <si>
    <t>PET FILM</t>
  </si>
  <si>
    <t>1200181</t>
  </si>
  <si>
    <t>CARBOTHANE PC</t>
  </si>
  <si>
    <t>1200182</t>
  </si>
  <si>
    <t>HA BAJO - HyActive - Contipro - 10-150KDa</t>
  </si>
  <si>
    <t>1200183</t>
  </si>
  <si>
    <t>HA MEDIO - HySilk powder - Contipro 0,15-1,3 MDa</t>
  </si>
  <si>
    <t>1200184</t>
  </si>
  <si>
    <t>HA ALTO - Hyaluronic acid (no salt, powder) - Contipro – 1,3-1,8 MDa</t>
  </si>
  <si>
    <t>1200185</t>
  </si>
  <si>
    <t>PHOSPHATO POTASICO</t>
  </si>
  <si>
    <t>1200186</t>
  </si>
  <si>
    <t>METABISULFITO</t>
  </si>
  <si>
    <t>1200187</t>
  </si>
  <si>
    <t>CLORURO SÃ“DICO</t>
  </si>
  <si>
    <t>1200188</t>
  </si>
  <si>
    <t>Acido Ascorbico</t>
  </si>
  <si>
    <t>1200189</t>
  </si>
  <si>
    <t>PHOSPHATE POTASICO DIBASICO</t>
  </si>
  <si>
    <t>1200190</t>
  </si>
  <si>
    <t>COLAGENO EVONIK</t>
  </si>
  <si>
    <t>1200191</t>
  </si>
  <si>
    <t>KOLLICOAT IR</t>
  </si>
  <si>
    <t>1200192</t>
  </si>
  <si>
    <t>KOLLIDON VA64</t>
  </si>
  <si>
    <t>1200193</t>
  </si>
  <si>
    <t>KOLLICOAT MAE</t>
  </si>
  <si>
    <t>1200194</t>
  </si>
  <si>
    <t>EUDRAGIT FS100</t>
  </si>
  <si>
    <t>1200195</t>
  </si>
  <si>
    <t>SOLUPLUS</t>
  </si>
  <si>
    <t>1200196</t>
  </si>
  <si>
    <t>Z19132</t>
  </si>
  <si>
    <t>1200197</t>
  </si>
  <si>
    <t>Z19133</t>
  </si>
  <si>
    <t>1200198</t>
  </si>
  <si>
    <t>Z19134</t>
  </si>
  <si>
    <t>1200199</t>
  </si>
  <si>
    <t>PLC7015M</t>
  </si>
  <si>
    <t>1200200</t>
  </si>
  <si>
    <t>PLC7015B</t>
  </si>
  <si>
    <t>1200201</t>
  </si>
  <si>
    <t>PC02</t>
  </si>
  <si>
    <t>1200202</t>
  </si>
  <si>
    <t>PC12</t>
  </si>
  <si>
    <t>1200203</t>
  </si>
  <si>
    <t>PC08</t>
  </si>
  <si>
    <t>1200204</t>
  </si>
  <si>
    <t>PLC9517</t>
  </si>
  <si>
    <t>1200205</t>
  </si>
  <si>
    <t>PC04</t>
  </si>
  <si>
    <t>1200206</t>
  </si>
  <si>
    <t>PLC9538</t>
  </si>
  <si>
    <t>1200207</t>
  </si>
  <si>
    <t>PLC9032</t>
  </si>
  <si>
    <t>1200208</t>
  </si>
  <si>
    <t>PC17</t>
  </si>
  <si>
    <t>1200209</t>
  </si>
  <si>
    <t>RESOM C203</t>
  </si>
  <si>
    <t>1200210</t>
  </si>
  <si>
    <t>RESOM C209</t>
  </si>
  <si>
    <t>1200211</t>
  </si>
  <si>
    <t>1200212</t>
  </si>
  <si>
    <t>RESOM C217</t>
  </si>
  <si>
    <t>1200213</t>
  </si>
  <si>
    <t>RESOM C202</t>
  </si>
  <si>
    <t>1200214</t>
  </si>
  <si>
    <t>CARBOSIL DSM</t>
  </si>
  <si>
    <t>1200215</t>
  </si>
  <si>
    <t>VITAMINA E</t>
  </si>
  <si>
    <t>1200216</t>
  </si>
  <si>
    <t>PVP K-25 JRS</t>
  </si>
  <si>
    <t>1200217</t>
  </si>
  <si>
    <t>PVP K-30 JRS</t>
  </si>
  <si>
    <t>1200218</t>
  </si>
  <si>
    <t>CYTISINE</t>
  </si>
  <si>
    <t>1200219</t>
  </si>
  <si>
    <t>1200220</t>
  </si>
  <si>
    <t>HY CROSSLINKED</t>
  </si>
  <si>
    <t>1200221</t>
  </si>
  <si>
    <t>HY ELECTROSPUN</t>
  </si>
  <si>
    <t>1200222</t>
  </si>
  <si>
    <t>LIDOCAINE PARTICLES</t>
  </si>
  <si>
    <t>1200223</t>
  </si>
  <si>
    <t>PVA 18-88</t>
  </si>
  <si>
    <t>1200224</t>
  </si>
  <si>
    <t>SIPERNAT D17</t>
  </si>
  <si>
    <t>1200225</t>
  </si>
  <si>
    <t>PVDF 275000</t>
  </si>
  <si>
    <t>1200226</t>
  </si>
  <si>
    <t>PVDF 534000</t>
  </si>
  <si>
    <t>1200227</t>
  </si>
  <si>
    <t>PVDF-COPO-ARKEMA</t>
  </si>
  <si>
    <t>1200228</t>
  </si>
  <si>
    <t>CLOROFORMON T3QUIMICA</t>
  </si>
  <si>
    <t>1200229</t>
  </si>
  <si>
    <t>PVDF-KYNAR 761 A</t>
  </si>
  <si>
    <t>1200230</t>
  </si>
  <si>
    <t>PVDF-KYNAR MG15</t>
  </si>
  <si>
    <t>1200231</t>
  </si>
  <si>
    <t>TRIMETILPENTANO</t>
  </si>
  <si>
    <t>1200232</t>
  </si>
  <si>
    <t>GRAPHENO</t>
  </si>
  <si>
    <t>1200233</t>
  </si>
  <si>
    <t>SOLEF 6008/1001 (PVDF)</t>
  </si>
  <si>
    <t>1200234</t>
  </si>
  <si>
    <t>CARBOTHANE PC 3572D</t>
  </si>
  <si>
    <t>1200235</t>
  </si>
  <si>
    <t>ZINC OXIDE CR-4 USP 5</t>
  </si>
  <si>
    <t>1200236</t>
  </si>
  <si>
    <t>POLYACRYLONITRILE POWDER</t>
  </si>
  <si>
    <t>1200237</t>
  </si>
  <si>
    <t>EUDRAGIT FS 30 D</t>
  </si>
  <si>
    <t>1200238</t>
  </si>
  <si>
    <t>PHB (GOODFELLOW)</t>
  </si>
  <si>
    <t>1200239</t>
  </si>
  <si>
    <t>ETHYLCELLULOSE 100 CP</t>
  </si>
  <si>
    <t>1200240</t>
  </si>
  <si>
    <t>ETHYLCELLULOSE 22 CP</t>
  </si>
  <si>
    <t>1200241</t>
  </si>
  <si>
    <t>CAPA 6500 POLYCAPROLACTONE</t>
  </si>
  <si>
    <t>1200242</t>
  </si>
  <si>
    <t>SODIUM PHOSPHATE</t>
  </si>
  <si>
    <t>1200243</t>
  </si>
  <si>
    <t>SUPER REFINED SESAME OIL</t>
  </si>
  <si>
    <t>1200244</t>
  </si>
  <si>
    <t>FORMIC ACID</t>
  </si>
  <si>
    <t>1200245</t>
  </si>
  <si>
    <t>PHBW PELLETS</t>
  </si>
  <si>
    <t>1200246</t>
  </si>
  <si>
    <t>2,2,2-TRIFLUOROETHANOL 99,8%</t>
  </si>
  <si>
    <t>1200247</t>
  </si>
  <si>
    <t>1 BUTANOL</t>
  </si>
  <si>
    <t>1200248</t>
  </si>
  <si>
    <t>1 BUTANOL SIGMA ALDRICH</t>
  </si>
  <si>
    <t>1200249</t>
  </si>
  <si>
    <t>1 BUTANOL PANREAC</t>
  </si>
  <si>
    <t>1200250</t>
  </si>
  <si>
    <t>1 BUTANOL MERK</t>
  </si>
  <si>
    <t>1200251</t>
  </si>
  <si>
    <t>CLOBETASOL PROPIONATE CRYSTAL PHARMA</t>
  </si>
  <si>
    <t>1200252</t>
  </si>
  <si>
    <t>CLOROFORMO</t>
  </si>
  <si>
    <t>1200253</t>
  </si>
  <si>
    <t>METHYLENE CHLORIDE</t>
  </si>
  <si>
    <t>1200254</t>
  </si>
  <si>
    <t>DEIONIZED WATER</t>
  </si>
  <si>
    <t>1200255</t>
  </si>
  <si>
    <t>DEIONIZED WATER IATA</t>
  </si>
  <si>
    <t>1200256</t>
  </si>
  <si>
    <t>DEIONIZED WATER ADESCO</t>
  </si>
  <si>
    <t>1200257</t>
  </si>
  <si>
    <t>DEIONIZED WATER R+D/CLEANING ADESCO</t>
  </si>
  <si>
    <t>1200258</t>
  </si>
  <si>
    <t>DIMETHYL SULFOXIDE PANREAC</t>
  </si>
  <si>
    <t>1200259</t>
  </si>
  <si>
    <t>ETHANOL</t>
  </si>
  <si>
    <t>1200260</t>
  </si>
  <si>
    <t>ETHANOL ABSOLUTE VWR</t>
  </si>
  <si>
    <t>1200261</t>
  </si>
  <si>
    <t>ETHANOL ABSOLUTE PANREAC</t>
  </si>
  <si>
    <t>1200262</t>
  </si>
  <si>
    <t>ETHANOL ABSOLUTE MERK</t>
  </si>
  <si>
    <t>1200263</t>
  </si>
  <si>
    <t>ETHANOL ABSOLUTE R+D/CLEANING PANREAC</t>
  </si>
  <si>
    <t>1200264</t>
  </si>
  <si>
    <t>SUSPENSIÃ“N A DE EUREKITE</t>
  </si>
  <si>
    <t>1200265</t>
  </si>
  <si>
    <t>SUSPENSIÃ“N B DE EUREKITE</t>
  </si>
  <si>
    <t>1200266</t>
  </si>
  <si>
    <t>OXIDO DE HIERRO</t>
  </si>
  <si>
    <t>1200267</t>
  </si>
  <si>
    <t>OXIDO DE HIERRO SIGMA ALDRICH</t>
  </si>
  <si>
    <t>1200268</t>
  </si>
  <si>
    <t>OXIDO DE HIERRO PROQUIMAC</t>
  </si>
  <si>
    <t>1200269</t>
  </si>
  <si>
    <t>ISOPROPANOL</t>
  </si>
  <si>
    <t>1200270</t>
  </si>
  <si>
    <t>NITROFURANTOIN MACROCRYSTALS</t>
  </si>
  <si>
    <t>1200271</t>
  </si>
  <si>
    <t>NITROFURANTOIN MACROCRYSTALS MAKIND</t>
  </si>
  <si>
    <t>1200272</t>
  </si>
  <si>
    <t>OMEGA 3 DE NANOSAAR. FM15048B</t>
  </si>
  <si>
    <t>1200273</t>
  </si>
  <si>
    <t>POLYACRYLATE</t>
  </si>
  <si>
    <t>1200274</t>
  </si>
  <si>
    <t>POLYACRYLATE EUDRAGIT RS100 EVONIK</t>
  </si>
  <si>
    <t>1200275</t>
  </si>
  <si>
    <t>2 METOXIETANOL</t>
  </si>
  <si>
    <t>1200276</t>
  </si>
  <si>
    <t>ULTRA CLEAN POLYETHYLENE BAG 610*762 MM</t>
  </si>
  <si>
    <t>1200277</t>
  </si>
  <si>
    <t>ULTRA CLEAN POLYETHYLENE BAG 254*305 MM</t>
  </si>
  <si>
    <t>1200278</t>
  </si>
  <si>
    <t>ULTRA CLEAN POLYETHYLENE BAG 305*305 MM</t>
  </si>
  <si>
    <t>1200279</t>
  </si>
  <si>
    <t>BOLSA SALA LIMPIA PESAJE MATERIA PRIMA</t>
  </si>
  <si>
    <t>1200280</t>
  </si>
  <si>
    <t>POLYCAPROLACTONE</t>
  </si>
  <si>
    <t>1200281</t>
  </si>
  <si>
    <t>POLYCAPROLACTONE SIGMA ALDRICH MW80,000</t>
  </si>
  <si>
    <t>1200282</t>
  </si>
  <si>
    <t>POLYCAPROLACTONE CAPA6800 PERSTORP</t>
  </si>
  <si>
    <t>1200283</t>
  </si>
  <si>
    <t>POLYCAPROLACTONE CAPA6800D PERSTORP</t>
  </si>
  <si>
    <t>1200284</t>
  </si>
  <si>
    <t>PLGA RESOMER RG 503 H 100G</t>
  </si>
  <si>
    <t>1200285</t>
  </si>
  <si>
    <t>PACKING MATERIAL ALUMINIO + LDPE</t>
  </si>
  <si>
    <t>1200286</t>
  </si>
  <si>
    <t>POLYETHYLENE OXIDE</t>
  </si>
  <si>
    <t>1200287</t>
  </si>
  <si>
    <t>POLYETHYLENE 200,000 COLORCON</t>
  </si>
  <si>
    <t>1200288</t>
  </si>
  <si>
    <t>POLYETHYLENE 200,000 SIGMA ALDRICH</t>
  </si>
  <si>
    <t>1200289</t>
  </si>
  <si>
    <t>POLYETHYLENE 100,000 COLORCON</t>
  </si>
  <si>
    <t>1200290</t>
  </si>
  <si>
    <t>POLYETHYLENE OXIDE EUREKITE</t>
  </si>
  <si>
    <t>1200291</t>
  </si>
  <si>
    <t>POLYVIDONE</t>
  </si>
  <si>
    <t>1200292</t>
  </si>
  <si>
    <t>POLYVIDONE KOLLIDON 90F BASF</t>
  </si>
  <si>
    <t>1200293</t>
  </si>
  <si>
    <t>POLYVIDONE K90 BONSUN</t>
  </si>
  <si>
    <t>1200294</t>
  </si>
  <si>
    <t>POLYVIDONE SIGMA ALDRICH 360,000</t>
  </si>
  <si>
    <t>1200295</t>
  </si>
  <si>
    <t>POLYVIDONE K90 BOSUM</t>
  </si>
  <si>
    <t>1200296</t>
  </si>
  <si>
    <t>ROLLO ALUMINIO 150M X 45 CM</t>
  </si>
  <si>
    <t>1200297</t>
  </si>
  <si>
    <t>MATERIAL GENERICO DE LABORATORIO 1</t>
  </si>
  <si>
    <t>1200298</t>
  </si>
  <si>
    <t>MATERIAL GENERICO DE LABORATORIO 2</t>
  </si>
  <si>
    <t>1200299</t>
  </si>
  <si>
    <t>SILICA GEL FOR DESSICATORS</t>
  </si>
  <si>
    <t>1200300</t>
  </si>
  <si>
    <t>YTTRIUM NITRATE HEXAHYDRATE</t>
  </si>
  <si>
    <t>1200301</t>
  </si>
  <si>
    <t>ZEIN</t>
  </si>
  <si>
    <t>1200302</t>
  </si>
  <si>
    <t>ZEIN F4405C-FOOD GRADE</t>
  </si>
  <si>
    <t>1200303</t>
  </si>
  <si>
    <t>ZIRCONIUM N-PROPOXIDE</t>
  </si>
  <si>
    <t>1200304</t>
  </si>
  <si>
    <t>CTAB</t>
  </si>
  <si>
    <t>1200305</t>
  </si>
  <si>
    <t>BCA PROTEIN ASSAY KIT</t>
  </si>
  <si>
    <t>1200306</t>
  </si>
  <si>
    <t>WHEY PROTEIN CONCENTRATE 80INSTANT</t>
  </si>
  <si>
    <t>1200307</t>
  </si>
  <si>
    <t>PTFE DISP (I+D)</t>
  </si>
  <si>
    <t>1200308</t>
  </si>
  <si>
    <t>1200309</t>
  </si>
  <si>
    <t>GRAPHENE OXIDE</t>
  </si>
  <si>
    <t>1200310</t>
  </si>
  <si>
    <t>ETHYLENE CARBONATE</t>
  </si>
  <si>
    <t>1200311</t>
  </si>
  <si>
    <t>PLA ME346380 457-729-48</t>
  </si>
  <si>
    <t>1200312</t>
  </si>
  <si>
    <t>PLA ME346365 479-866-77</t>
  </si>
  <si>
    <t>1200313</t>
  </si>
  <si>
    <t>PLA ME346324 264-520-65</t>
  </si>
  <si>
    <t>1200314</t>
  </si>
  <si>
    <t>ALBUMIN CHICKEN EGG GRADE V SIGMA ALDRICH</t>
  </si>
  <si>
    <t>1200315</t>
  </si>
  <si>
    <t>BUFFER TABLES PH 6.8</t>
  </si>
  <si>
    <t>1200316</t>
  </si>
  <si>
    <t>PBS TABLETS - CALBIOCHEM</t>
  </si>
  <si>
    <t>1200317</t>
  </si>
  <si>
    <t>MAGNESIUM STEARATE</t>
  </si>
  <si>
    <t>1200318</t>
  </si>
  <si>
    <t>SODIUM HYDROXIDE SIGMA-ALDRICH</t>
  </si>
  <si>
    <t>1200319</t>
  </si>
  <si>
    <t>1,4-DINITROBENZENE</t>
  </si>
  <si>
    <t>1200320</t>
  </si>
  <si>
    <t>CYRENE</t>
  </si>
  <si>
    <t>1200321</t>
  </si>
  <si>
    <t>ACEITE ESENCIAL POLEO MENTA-100ML</t>
  </si>
  <si>
    <t>1200322</t>
  </si>
  <si>
    <t>ACEITE ESENCIAL EUCALIPTO-100ML</t>
  </si>
  <si>
    <t>ACEITE ESENCIAL HIERBABUENA-100ML</t>
  </si>
  <si>
    <t>1200324</t>
  </si>
  <si>
    <t>ALMIDON DE TRIGO TB</t>
  </si>
  <si>
    <t>1200325</t>
  </si>
  <si>
    <t>ALMIDON GUISANTE N-735</t>
  </si>
  <si>
    <t>1200326</t>
  </si>
  <si>
    <t>TETRAHYDROFURAN</t>
  </si>
  <si>
    <t>1200327</t>
  </si>
  <si>
    <t>ACETONITRILE HPLC</t>
  </si>
  <si>
    <t>1200328</t>
  </si>
  <si>
    <t>ACETONE HPLC</t>
  </si>
  <si>
    <t>1200329</t>
  </si>
  <si>
    <t>1200330</t>
  </si>
  <si>
    <t>AMMONIUM THIOCYANATE, 99+%, EXTRA PURE</t>
  </si>
  <si>
    <t>1200331</t>
  </si>
  <si>
    <t>PLA LUMINY L105</t>
  </si>
  <si>
    <t>1200332</t>
  </si>
  <si>
    <t>BRIJ O20</t>
  </si>
  <si>
    <t>1200333</t>
  </si>
  <si>
    <t>Aceite esencial Menta piperita</t>
  </si>
  <si>
    <t>1200334</t>
  </si>
  <si>
    <t>Aceite Esencial lavanda</t>
  </si>
  <si>
    <t>1200335</t>
  </si>
  <si>
    <t>Iron (II) sulfate</t>
  </si>
  <si>
    <t>1200336</t>
  </si>
  <si>
    <t>Tween 20 Emprove</t>
  </si>
  <si>
    <t>1200337</t>
  </si>
  <si>
    <t>GLUCIDEX 39 ROQUETTE</t>
  </si>
  <si>
    <t>1200340</t>
  </si>
  <si>
    <t>PVOH KURARAY 13-88</t>
  </si>
  <si>
    <t>1200342</t>
  </si>
  <si>
    <t>PVOH KURARAY 18-88</t>
  </si>
  <si>
    <t>1200343</t>
  </si>
  <si>
    <t>PVOH KURARAY 26-88</t>
  </si>
  <si>
    <t>1200344</t>
  </si>
  <si>
    <t>PVOH KURARAY 8-88</t>
  </si>
  <si>
    <t>1200345</t>
  </si>
  <si>
    <t>PVOH KURARAY 40-88</t>
  </si>
  <si>
    <t>1200346</t>
  </si>
  <si>
    <t>PVOH KURARAY 56-88</t>
  </si>
  <si>
    <t>1200347</t>
  </si>
  <si>
    <t>BIO-ELASTOMER GDH-B1FA</t>
  </si>
  <si>
    <t>1200348</t>
  </si>
  <si>
    <t>Chlorine Chloride</t>
  </si>
  <si>
    <t>1200349</t>
  </si>
  <si>
    <t>UREA</t>
  </si>
  <si>
    <t>1200350</t>
  </si>
  <si>
    <t>Mentol (+/-)</t>
  </si>
  <si>
    <t>1200351</t>
  </si>
  <si>
    <t>Valida S231C</t>
  </si>
  <si>
    <t>1200352</t>
  </si>
  <si>
    <t>KYNAR 720</t>
  </si>
  <si>
    <t>1200353</t>
  </si>
  <si>
    <t>KYNAR 741</t>
  </si>
  <si>
    <t>1200354</t>
  </si>
  <si>
    <t>KYNAR 2821</t>
  </si>
  <si>
    <t>1200355</t>
  </si>
  <si>
    <t>CLORURO POTÁSICO</t>
  </si>
  <si>
    <t>1200356</t>
  </si>
  <si>
    <t>HaC &lt;10kDa BAKEL</t>
  </si>
  <si>
    <t>1200357</t>
  </si>
  <si>
    <t>Surfactina BAKEL</t>
  </si>
  <si>
    <t>1200358</t>
  </si>
  <si>
    <t>Pululano BAKEL</t>
  </si>
  <si>
    <t>1200359</t>
  </si>
  <si>
    <t>HIDROXIDO DE SODIO EN PERLAS</t>
  </si>
  <si>
    <t>1200360</t>
  </si>
  <si>
    <t>PAO EMERY OIL CAS 68037014</t>
  </si>
  <si>
    <t>1200361</t>
  </si>
  <si>
    <t>PBS FZ71PM INJ. FOOD</t>
  </si>
  <si>
    <t>1200362</t>
  </si>
  <si>
    <t>PBS FZ91PM EXT. FOOD</t>
  </si>
  <si>
    <t>1200363</t>
  </si>
  <si>
    <t>PBSA FD92PB EXT. NO FOOD</t>
  </si>
  <si>
    <t>1200364</t>
  </si>
  <si>
    <t>KOLLAGEN</t>
  </si>
  <si>
    <t>1200365</t>
  </si>
  <si>
    <t>AMPHOTERICIN B</t>
  </si>
  <si>
    <t>1200366</t>
  </si>
  <si>
    <t>DODECYL SULFATE SODIUM</t>
  </si>
  <si>
    <t>1200367</t>
  </si>
  <si>
    <t>PHB P309</t>
  </si>
  <si>
    <t>1200368</t>
  </si>
  <si>
    <t>OPULYN</t>
  </si>
  <si>
    <t>1200369</t>
  </si>
  <si>
    <t>1200370</t>
  </si>
  <si>
    <t>SAROLANER</t>
  </si>
  <si>
    <t>1200371</t>
  </si>
  <si>
    <t>PVP 40-88</t>
  </si>
  <si>
    <t>1200372</t>
  </si>
  <si>
    <t>BHT</t>
  </si>
  <si>
    <t>1200373</t>
  </si>
  <si>
    <t>FOSFATO DISODICO</t>
  </si>
  <si>
    <t>1200374</t>
  </si>
  <si>
    <t>PHBV 20%</t>
  </si>
  <si>
    <t>1200375</t>
  </si>
  <si>
    <t>PVP 25</t>
  </si>
  <si>
    <t>1200376</t>
  </si>
  <si>
    <t>ZEIN 1002540305</t>
  </si>
  <si>
    <t>1200377</t>
  </si>
  <si>
    <t>CALPRENE H6120</t>
  </si>
  <si>
    <t>1200378</t>
  </si>
  <si>
    <t>GREEN DOT BIOPLASTICS</t>
  </si>
  <si>
    <t>1200379</t>
  </si>
  <si>
    <t>DOPA</t>
  </si>
  <si>
    <t>1200380</t>
  </si>
  <si>
    <t>MUCINA</t>
  </si>
  <si>
    <t>1200381</t>
  </si>
  <si>
    <t>PRIOLUBE 1847-LQ (GD)</t>
  </si>
  <si>
    <t>1200382</t>
  </si>
  <si>
    <t>DMTMM</t>
  </si>
  <si>
    <t>1200383</t>
  </si>
  <si>
    <t>CERIA</t>
  </si>
  <si>
    <t>1200384</t>
  </si>
  <si>
    <t>TITANIUM OXIDE</t>
  </si>
  <si>
    <t>1200385</t>
  </si>
  <si>
    <t>TITANATO DE BARIO</t>
  </si>
  <si>
    <t>1200386</t>
  </si>
  <si>
    <t>Pululano UBESOL</t>
  </si>
  <si>
    <t>1200387</t>
  </si>
  <si>
    <t>Matrixyl UBESOL</t>
  </si>
  <si>
    <t>1200388</t>
  </si>
  <si>
    <t>1200389</t>
  </si>
  <si>
    <t>Collagen from bovine achilles tendon</t>
  </si>
  <si>
    <t>1200390</t>
  </si>
  <si>
    <t>1200391</t>
  </si>
  <si>
    <t>1200392</t>
  </si>
  <si>
    <t>CANNABIDIOL</t>
  </si>
  <si>
    <t>1200393</t>
  </si>
  <si>
    <t>COLLAGEN</t>
  </si>
  <si>
    <t>1200394</t>
  </si>
  <si>
    <t>Papel Celulosa blanco liso 0,46 m ancho 60 g – Imcovel</t>
  </si>
  <si>
    <t>1200395</t>
  </si>
  <si>
    <t>FOLIN-CIOCALTEU</t>
  </si>
  <si>
    <t>1200396</t>
  </si>
  <si>
    <t>SODIUM CARNONATE ANHIDRO</t>
  </si>
  <si>
    <t>1200397</t>
  </si>
  <si>
    <t>Reduced G.O</t>
  </si>
  <si>
    <t>1200398</t>
  </si>
  <si>
    <t>POTS</t>
  </si>
  <si>
    <t>1200399</t>
  </si>
  <si>
    <t>PVDF-HFP</t>
  </si>
  <si>
    <t>1200400</t>
  </si>
  <si>
    <t>1200401</t>
  </si>
  <si>
    <t>Acetone</t>
  </si>
  <si>
    <t>1200402</t>
  </si>
  <si>
    <t>Ethanol</t>
  </si>
  <si>
    <t>1200403</t>
  </si>
  <si>
    <t>TEOS</t>
  </si>
  <si>
    <t>1200404</t>
  </si>
  <si>
    <t>Ammonium hydroxide</t>
  </si>
  <si>
    <t>1200405</t>
  </si>
  <si>
    <t>CHRONOFLEX 80A</t>
  </si>
  <si>
    <t>1200406</t>
  </si>
  <si>
    <t>Cera Lanette O</t>
  </si>
  <si>
    <t>1200407</t>
  </si>
  <si>
    <t>Cera Lanette N</t>
  </si>
  <si>
    <t>1200408</t>
  </si>
  <si>
    <t>Cera de Soja</t>
  </si>
  <si>
    <t>1200409</t>
  </si>
  <si>
    <t>Cera de Arroz</t>
  </si>
  <si>
    <t>1200410</t>
  </si>
  <si>
    <t>Cera Lanette SX</t>
  </si>
  <si>
    <t>1200411</t>
  </si>
  <si>
    <t>Manteca de Karite refinada</t>
  </si>
  <si>
    <t>1200412</t>
  </si>
  <si>
    <t>Dragosine UBESOL</t>
  </si>
  <si>
    <t>1200413</t>
  </si>
  <si>
    <t>ROLLO STARCH PLANTIC 100µm</t>
  </si>
  <si>
    <t>1200414</t>
  </si>
  <si>
    <t>EQUOTERRA</t>
  </si>
  <si>
    <t>1200415</t>
  </si>
  <si>
    <t>FLAVOSOL</t>
  </si>
  <si>
    <t>1200416</t>
  </si>
  <si>
    <t>RUBROMOX</t>
  </si>
  <si>
    <t>1200417</t>
  </si>
  <si>
    <t>DDS VITA_C</t>
  </si>
  <si>
    <t>1200418</t>
  </si>
  <si>
    <t>DDS RETINOL</t>
  </si>
  <si>
    <t>1200419</t>
  </si>
  <si>
    <t>1,2-Dioctadecanoyl-sn-glycero-3-phosphocholine DSPC</t>
  </si>
  <si>
    <t>1200420</t>
  </si>
  <si>
    <t>GALLIC ACID MONOHYDRATE</t>
  </si>
  <si>
    <t>1200421</t>
  </si>
  <si>
    <t>OLIVAN CICAPURE</t>
  </si>
  <si>
    <t>1200422</t>
  </si>
  <si>
    <t>GOLDEN C</t>
  </si>
  <si>
    <t>1200423</t>
  </si>
  <si>
    <t>X50 PHOTOGLOW POWDER</t>
  </si>
  <si>
    <t>1200424</t>
  </si>
  <si>
    <t>OLIVAN ANTIOX</t>
  </si>
  <si>
    <t>1200425</t>
  </si>
  <si>
    <t>TROJAN Q10</t>
  </si>
  <si>
    <t>1200426</t>
  </si>
  <si>
    <t>MATRIGOLD</t>
  </si>
  <si>
    <t>1200427</t>
  </si>
  <si>
    <t>HIDROXITIROSOL Hytolive Syrup</t>
  </si>
  <si>
    <t>1200428</t>
  </si>
  <si>
    <t>VitaminE_TOCOPHERYL ACETATE</t>
  </si>
  <si>
    <t>1200429</t>
  </si>
  <si>
    <t>COENZYME Q10</t>
  </si>
  <si>
    <t>1200430</t>
  </si>
  <si>
    <t>VITAMIN B12 FOOD GRADE</t>
  </si>
  <si>
    <t>1200431</t>
  </si>
  <si>
    <t>HY RETIN</t>
  </si>
  <si>
    <t>1200432</t>
  </si>
  <si>
    <t>RUT IN PS-S</t>
  </si>
  <si>
    <t>1200433</t>
  </si>
  <si>
    <t>BEAUPLEX</t>
  </si>
  <si>
    <t>1200434</t>
  </si>
  <si>
    <t>PET GRANZA BLANCA</t>
  </si>
  <si>
    <t>1200435</t>
  </si>
  <si>
    <t>BOTELLA TRITURADO COLOR</t>
  </si>
  <si>
    <t>1200436</t>
  </si>
  <si>
    <t>BOTELLA TRITURADO BLANCO</t>
  </si>
  <si>
    <t>1200437</t>
  </si>
  <si>
    <t>SHELLAC AFS 700 Dewaxed</t>
  </si>
  <si>
    <t>1200438</t>
  </si>
  <si>
    <t>CARRIVECT -4 LIPOSOMAS ANTI- IRRITANTE / OXIDANTE</t>
  </si>
  <si>
    <t>1200439</t>
  </si>
  <si>
    <t>CARRIVECT -9 LIPOSOMAS ACIDO GLICOLICO</t>
  </si>
  <si>
    <t>1200440</t>
  </si>
  <si>
    <t>CARRIVECT -1 LIPOSOMAS HUMECTANTE LUBRICANTE</t>
  </si>
  <si>
    <t>1200441</t>
  </si>
  <si>
    <t>CARRIVECT -7 LIPOSOMAS BIOTINA</t>
  </si>
  <si>
    <t>1200442</t>
  </si>
  <si>
    <t>Cannabinol solution</t>
  </si>
  <si>
    <t>1200443</t>
  </si>
  <si>
    <t>Tetrahydrocannabinol solution</t>
  </si>
  <si>
    <t>1200444</t>
  </si>
  <si>
    <t>UCECRYL</t>
  </si>
  <si>
    <t>1200445</t>
  </si>
  <si>
    <t>DAOTAN</t>
  </si>
  <si>
    <t>1200446</t>
  </si>
  <si>
    <t>COL-FRAG REMASTERED</t>
  </si>
  <si>
    <t>1200447</t>
  </si>
  <si>
    <t>E120 CARMINE</t>
  </si>
  <si>
    <t>1200448</t>
  </si>
  <si>
    <t>E160C PAPRIKA</t>
  </si>
  <si>
    <t>1200449</t>
  </si>
  <si>
    <t>E141 COPPER CHLOROPHYL</t>
  </si>
  <si>
    <t>1200450</t>
  </si>
  <si>
    <t>E163 ENOCIANINA</t>
  </si>
  <si>
    <t>1200451</t>
  </si>
  <si>
    <t>E100 CURCUMIN</t>
  </si>
  <si>
    <t>1200452</t>
  </si>
  <si>
    <t>PE304 Spirulin</t>
  </si>
  <si>
    <t>1200453</t>
  </si>
  <si>
    <t>INDAPAMID</t>
  </si>
  <si>
    <t>1200454</t>
  </si>
  <si>
    <t>AMLODYPINE BESYLATE</t>
  </si>
  <si>
    <t>1200455</t>
  </si>
  <si>
    <t>RAMIPRIL</t>
  </si>
  <si>
    <t>1200456</t>
  </si>
  <si>
    <t>ACACIA COLLAGEN</t>
  </si>
  <si>
    <t>1200457</t>
  </si>
  <si>
    <t>FROST SL</t>
  </si>
  <si>
    <t>1200458</t>
  </si>
  <si>
    <t>HONEY PK</t>
  </si>
  <si>
    <t>1200459</t>
  </si>
  <si>
    <t>PEG400 SIGMA GRADO R&amp;D</t>
  </si>
  <si>
    <t>1200460</t>
  </si>
  <si>
    <t>PVAc (100.000)</t>
  </si>
  <si>
    <t>1200461</t>
  </si>
  <si>
    <t>PEG600</t>
  </si>
  <si>
    <t>1200462</t>
  </si>
  <si>
    <t>REDUCED GRAPHENE OXIDE</t>
  </si>
  <si>
    <t>1200463</t>
  </si>
  <si>
    <t>ELASTINA VEGETAL</t>
  </si>
  <si>
    <t>1200464</t>
  </si>
  <si>
    <t>Vitamina E Acetato Natural</t>
  </si>
  <si>
    <t>1200465</t>
  </si>
  <si>
    <t>TREHALOSE</t>
  </si>
  <si>
    <t>1200466</t>
  </si>
  <si>
    <t>GINGER EXTRACT</t>
  </si>
  <si>
    <t>1200467</t>
  </si>
  <si>
    <t>ACEITE DE ALGAS REFINADO 53% DHA</t>
  </si>
  <si>
    <t>1200468</t>
  </si>
  <si>
    <t>Rose bengal</t>
  </si>
  <si>
    <t>1200469</t>
  </si>
  <si>
    <t>SETALUX</t>
  </si>
  <si>
    <t>1200470</t>
  </si>
  <si>
    <t>Hexanal analytical grade</t>
  </si>
  <si>
    <t>1200471</t>
  </si>
  <si>
    <t>Propionaldehyde</t>
  </si>
  <si>
    <t>1200472</t>
  </si>
  <si>
    <t>Trimethylacetaldehyde</t>
  </si>
  <si>
    <t>1200473</t>
  </si>
  <si>
    <t>Alginate BR-GM</t>
  </si>
  <si>
    <t>1200474</t>
  </si>
  <si>
    <t>Alginate BR-L low viscosity</t>
  </si>
  <si>
    <t>1200475</t>
  </si>
  <si>
    <t>CHITOSAN FOOD GRADE Oyster mushroom</t>
  </si>
  <si>
    <t>1200476</t>
  </si>
  <si>
    <t>VeCollal (A)</t>
  </si>
  <si>
    <t>1200477</t>
  </si>
  <si>
    <t>POLYACRYLONITRILE NUS</t>
  </si>
  <si>
    <t>1200478</t>
  </si>
  <si>
    <t>KOPULAN-CG-PULLULAN</t>
  </si>
  <si>
    <t>1200479</t>
  </si>
  <si>
    <t>HYALURONIC ACID VEGAN GREENLURONIC – 4MDa</t>
  </si>
  <si>
    <t>1200480</t>
  </si>
  <si>
    <t>SUMIKAEXCEL PES 5003 PS</t>
  </si>
  <si>
    <t>1200481</t>
  </si>
  <si>
    <t>SUMIKAEXCEL PES 4800 PS</t>
  </si>
  <si>
    <t>1200482</t>
  </si>
  <si>
    <t>SUMIKAEXCEL PES 3600 PS</t>
  </si>
  <si>
    <t>1200483</t>
  </si>
  <si>
    <t>1200484</t>
  </si>
  <si>
    <t>PEG400 SIGMA PHARMA GRADE</t>
  </si>
  <si>
    <t>1200485</t>
  </si>
  <si>
    <t>11-Hidroxi-THC AMPOLLA</t>
  </si>
  <si>
    <t>1200486</t>
  </si>
  <si>
    <t>Rose bengal Thermo Fisher</t>
  </si>
  <si>
    <t>1200487</t>
  </si>
  <si>
    <t>CARBON BLACK EMSA</t>
  </si>
  <si>
    <t>1200488</t>
  </si>
  <si>
    <t>KURAY POVAL</t>
  </si>
  <si>
    <t>1200489</t>
  </si>
  <si>
    <t>CAPA 6800</t>
  </si>
  <si>
    <t>1200490</t>
  </si>
  <si>
    <t>R-PET SKYPET CR SB</t>
  </si>
  <si>
    <t>1200491</t>
  </si>
  <si>
    <t>RESOMER LC 703 S</t>
  </si>
  <si>
    <t>1200492</t>
  </si>
  <si>
    <t>RESOMER RL 704 S</t>
  </si>
  <si>
    <t>1200493</t>
  </si>
  <si>
    <t>RESOMER GC 753 S</t>
  </si>
  <si>
    <t>1200494</t>
  </si>
  <si>
    <t>RESOMER R 207S</t>
  </si>
  <si>
    <t>1200495</t>
  </si>
  <si>
    <t>IR3535INSECT REPELLENT</t>
  </si>
  <si>
    <t>1200496</t>
  </si>
  <si>
    <t>D-MANNITOL</t>
  </si>
  <si>
    <t>1200497</t>
  </si>
  <si>
    <t>1-Methyl-2-pyrrolidinone</t>
  </si>
  <si>
    <t>1200498</t>
  </si>
  <si>
    <t>1200499</t>
  </si>
  <si>
    <t>LAVENDER OIL</t>
  </si>
  <si>
    <t>1200500</t>
  </si>
  <si>
    <t>LAVANDIN OIL</t>
  </si>
  <si>
    <t>1200501</t>
  </si>
  <si>
    <t>CITRONELLA OIL</t>
  </si>
  <si>
    <t>1200502</t>
  </si>
  <si>
    <t>CITRUS LIMON PEEL OIL</t>
  </si>
  <si>
    <t>1200503</t>
  </si>
  <si>
    <t>LEMONGRASS OIL</t>
  </si>
  <si>
    <t>1200504</t>
  </si>
  <si>
    <t>BIOLIN/P</t>
  </si>
  <si>
    <t>1200505</t>
  </si>
  <si>
    <t>BIOBUTYRIN LS</t>
  </si>
  <si>
    <t>1200506</t>
  </si>
  <si>
    <t>THYMOPRO LS</t>
  </si>
  <si>
    <t>1200507</t>
  </si>
  <si>
    <t>MCT TYMO</t>
  </si>
  <si>
    <t>1200508</t>
  </si>
  <si>
    <t>MCT BIO BUTYRIN</t>
  </si>
  <si>
    <t>1200509</t>
  </si>
  <si>
    <t>POLYOX  WSR 1105</t>
  </si>
  <si>
    <t>1200510</t>
  </si>
  <si>
    <t>ALAB080322G</t>
  </si>
  <si>
    <t>1200511</t>
  </si>
  <si>
    <t>ALAB080322H</t>
  </si>
  <si>
    <t>1200512</t>
  </si>
  <si>
    <t>ALAB080322A</t>
  </si>
  <si>
    <t>1200513</t>
  </si>
  <si>
    <t>PLA LUMINY DEVELOPMENT</t>
  </si>
  <si>
    <t>1200514</t>
  </si>
  <si>
    <t>CHOLECALCIFEROL VITAMIN D3</t>
  </si>
  <si>
    <t>1200515</t>
  </si>
  <si>
    <t>L-a-PHOSPHATIDYLCHOLINE from egg yolk</t>
  </si>
  <si>
    <t>1200516</t>
  </si>
  <si>
    <t>SOFTENER BASE</t>
  </si>
  <si>
    <t>1200517</t>
  </si>
  <si>
    <t>PERFUME POWERCAPS BIODEGRADABLE</t>
  </si>
  <si>
    <t>1200518</t>
  </si>
  <si>
    <t>NON IONIC SURFACTANT</t>
  </si>
  <si>
    <t>1200519</t>
  </si>
  <si>
    <t>CATIONIC SURFACTANT</t>
  </si>
  <si>
    <t>1200520</t>
  </si>
  <si>
    <t>BOVINE BILE EXTRACT</t>
  </si>
  <si>
    <t>1200521</t>
  </si>
  <si>
    <t>LIPASE</t>
  </si>
  <si>
    <t>1200522</t>
  </si>
  <si>
    <t>L-a-CHYMOTRYPSIN</t>
  </si>
  <si>
    <t>1200523</t>
  </si>
  <si>
    <t>ALAB080322 A</t>
  </si>
  <si>
    <t>1200524</t>
  </si>
  <si>
    <t>CAFFEINE</t>
  </si>
  <si>
    <t>1200525</t>
  </si>
  <si>
    <t>Elastina vegetal_Promois WG-SP_Seiwa</t>
  </si>
  <si>
    <t>1200526</t>
  </si>
  <si>
    <t>PERFUME LOEWE</t>
  </si>
  <si>
    <t>1200527</t>
  </si>
  <si>
    <t>BLUE SHIMMER</t>
  </si>
  <si>
    <t>1200528</t>
  </si>
  <si>
    <t>GOLD SHEEN</t>
  </si>
  <si>
    <t>1200529</t>
  </si>
  <si>
    <t>GREEN SHIMMER</t>
  </si>
  <si>
    <t>1200530</t>
  </si>
  <si>
    <t>ORANGE AMBER</t>
  </si>
  <si>
    <t>1200531</t>
  </si>
  <si>
    <t>RED SHIMMER</t>
  </si>
  <si>
    <t>1200532</t>
  </si>
  <si>
    <t>NXT RUBY RED</t>
  </si>
  <si>
    <t>1200533</t>
  </si>
  <si>
    <t>Perfume Concentrado</t>
  </si>
  <si>
    <t>1200534</t>
  </si>
  <si>
    <t>Turmeria Zen (Curcuma)</t>
  </si>
  <si>
    <t>1200535</t>
  </si>
  <si>
    <t>Turmeria Zen 02 (Curcuma)</t>
  </si>
  <si>
    <t>1200536</t>
  </si>
  <si>
    <t>Quora Noni - PhyMOr</t>
  </si>
  <si>
    <t>1200537</t>
  </si>
  <si>
    <t>Quora Noni 02 - PhyMOr02</t>
  </si>
  <si>
    <t>1200538</t>
  </si>
  <si>
    <t>α-Amylase from porcine pancreas</t>
  </si>
  <si>
    <t>1200539</t>
  </si>
  <si>
    <t>Pepsin from porcine gastric mucosa</t>
  </si>
  <si>
    <t>1200540</t>
  </si>
  <si>
    <t>Pancreatin from porcine pancreas</t>
  </si>
  <si>
    <t>1200541</t>
  </si>
  <si>
    <t>SYTENOL A - BAKUCHIOL</t>
  </si>
  <si>
    <t>1200542</t>
  </si>
  <si>
    <t>VECOLLAN - COLLAGENO VEGANO 22KDA - EVONIK</t>
  </si>
  <si>
    <t>1200543</t>
  </si>
  <si>
    <t>ALOE VERA POWDER C-02 - PROVITAL</t>
  </si>
  <si>
    <t>1200544</t>
  </si>
  <si>
    <t>POLY(ETHYLENE GLYCOL) AVERAGE MN 20,000</t>
  </si>
  <si>
    <t>1200545</t>
  </si>
  <si>
    <t>POLY(ETHYLENE GLYCOL) AVERAGE MN 10,000 FLAKES</t>
  </si>
  <si>
    <t>1200546</t>
  </si>
  <si>
    <t>POLY(ETHYLENE OXIDE) AVERAGE MV 100,000 (NOMINAL), POWDER</t>
  </si>
  <si>
    <t>1200547</t>
  </si>
  <si>
    <t>PP4P(Palmitoyl Pentapeptide-4) -Spec Chem</t>
  </si>
  <si>
    <t>1200548</t>
  </si>
  <si>
    <t>POP(Palmitoyl Hexapeptide-12) - Spec Chem</t>
  </si>
  <si>
    <t>1200549</t>
  </si>
  <si>
    <t>PT8P(Palmitoyl Tripeptide-8)- Spec Chem</t>
  </si>
  <si>
    <t>1200550</t>
  </si>
  <si>
    <t>AO3P(Acetyl Octapeptide-3 )- Spec Chem</t>
  </si>
  <si>
    <t>1200551</t>
  </si>
  <si>
    <t>LCS(Carnosine) - Spec Chem</t>
  </si>
  <si>
    <t>1200552</t>
  </si>
  <si>
    <t>LCSGSH(Glutathione) - Spec Chem</t>
  </si>
  <si>
    <t>1200553</t>
  </si>
  <si>
    <t>HWP (Hydrolyzed wheat protein) - Spec Chem</t>
  </si>
  <si>
    <t>1200554</t>
  </si>
  <si>
    <t>1200555</t>
  </si>
  <si>
    <t>INZEA F38 HF</t>
  </si>
  <si>
    <t>1200556</t>
  </si>
  <si>
    <t>INZEA F38 SB</t>
  </si>
  <si>
    <t>1200557</t>
  </si>
  <si>
    <t>MICRO HA &lt;5kDa BLOOMAGE</t>
  </si>
  <si>
    <t>1200558</t>
  </si>
  <si>
    <t>HY MAGIC - HA ACETILADO (SUPERFICIAL) - BLOOMAGE</t>
  </si>
  <si>
    <t>1200559</t>
  </si>
  <si>
    <t>PVOH fully hydrolized 30.000</t>
  </si>
  <si>
    <t>1200560</t>
  </si>
  <si>
    <t>Nylon 6</t>
  </si>
  <si>
    <t>1200561</t>
  </si>
  <si>
    <t>PVOH 10-98 KURAY POVAL</t>
  </si>
  <si>
    <t>1200562</t>
  </si>
  <si>
    <t>PVOH 20-98 KURAY POVAL</t>
  </si>
  <si>
    <t>1200563</t>
  </si>
  <si>
    <t>PVOH 30-98 KURAY POVAL</t>
  </si>
  <si>
    <t>1200564</t>
  </si>
  <si>
    <t>ELESTOR-PFSA POWDER</t>
  </si>
  <si>
    <t>1200565</t>
  </si>
  <si>
    <t>RESOMER RG 753H</t>
  </si>
  <si>
    <t>1200566</t>
  </si>
  <si>
    <t>1200567</t>
  </si>
  <si>
    <t>PCL 14000</t>
  </si>
  <si>
    <t>1200568</t>
  </si>
  <si>
    <t>OLIVOIL FRUTTOSIDE</t>
  </si>
  <si>
    <t>1200569</t>
  </si>
  <si>
    <t>POLYIMIDE P84 TYPE 70 SGG</t>
  </si>
  <si>
    <t>1200570</t>
  </si>
  <si>
    <t>Silver Nanopowder</t>
  </si>
  <si>
    <t>1200571</t>
  </si>
  <si>
    <t>UBE NYLON 1015B</t>
  </si>
  <si>
    <t>1200572</t>
  </si>
  <si>
    <t>2-PROPANOL (HPLC)</t>
  </si>
  <si>
    <t>1200573</t>
  </si>
  <si>
    <t>Ethanol absolute for analysis</t>
  </si>
  <si>
    <t>1200574</t>
  </si>
  <si>
    <t>PLA-M-VERA GP1041 DRAGER</t>
  </si>
  <si>
    <t>1200575</t>
  </si>
  <si>
    <t>Zinc Oxide Pharma STD</t>
  </si>
  <si>
    <t>1200576</t>
  </si>
  <si>
    <t>PVDF Kynar 761</t>
  </si>
  <si>
    <t>1200577</t>
  </si>
  <si>
    <t>PVDF Kynar HSV 900</t>
  </si>
  <si>
    <t>1200578</t>
  </si>
  <si>
    <t>PVDF Kynar G150</t>
  </si>
  <si>
    <t>1200579</t>
  </si>
  <si>
    <t>PVDF Kynar LBG</t>
  </si>
  <si>
    <t>1200580</t>
  </si>
  <si>
    <t>ALAB080322A1 PEPTIDO BAKEL</t>
  </si>
  <si>
    <t>1200581</t>
  </si>
  <si>
    <t>NIACINAMIDE PC - DSM - DISPROQUIMA  - 50 G</t>
  </si>
  <si>
    <t>1200582</t>
  </si>
  <si>
    <t>JD JOJOBA BUTTER V - 6990 - DISPROQUIMA</t>
  </si>
  <si>
    <t>1200583</t>
  </si>
  <si>
    <t>Apiezon grease</t>
  </si>
  <si>
    <t>1200584</t>
  </si>
  <si>
    <t>Nylon 6,6 SIGMA</t>
  </si>
  <si>
    <t>1200585</t>
  </si>
  <si>
    <t>R-PET SKYPET CR BB</t>
  </si>
  <si>
    <t>1200586</t>
  </si>
  <si>
    <t>UBE NYLON  1024B</t>
  </si>
  <si>
    <t>1200587</t>
  </si>
  <si>
    <t>ALAB COLLAGENPRO 02 BAKEL</t>
  </si>
  <si>
    <t>1200588</t>
  </si>
  <si>
    <t>OLEIC ACID</t>
  </si>
  <si>
    <t>THC_Cannovex</t>
  </si>
  <si>
    <t>Propylene glycol</t>
  </si>
  <si>
    <t>POLIAMIDA PA6 WG</t>
  </si>
  <si>
    <t>POLYAMIDE PA6 WG</t>
  </si>
  <si>
    <t>ÁCIDO ACÉTICO</t>
  </si>
  <si>
    <t>Formic Acid VWR</t>
  </si>
  <si>
    <t>ÁCIDO ACÉTICO PANREAC</t>
  </si>
  <si>
    <t>ÁCIDO FÓRMICO PANREAC</t>
  </si>
  <si>
    <t>ÁCIDO ACÉTICO BARCELONESA</t>
  </si>
  <si>
    <t>ÁCIDO FÓRMICO 85% BACELONESA</t>
  </si>
  <si>
    <t>Nicotine bitartrate purity 35%</t>
  </si>
  <si>
    <t>Nicotine glicerol solution purity 20%</t>
  </si>
  <si>
    <t>Nombre Proyecto</t>
  </si>
  <si>
    <t>Test metrologia</t>
  </si>
  <si>
    <t>Código Proyecto</t>
  </si>
  <si>
    <t>Cliente</t>
  </si>
  <si>
    <r>
      <rPr>
        <b/>
        <sz val="11"/>
        <color theme="1"/>
        <rFont val="Calibri"/>
        <family val="2"/>
        <scheme val="minor"/>
      </rPr>
      <t>NOTA:</t>
    </r>
    <r>
      <rPr>
        <sz val="11"/>
        <color theme="1"/>
        <rFont val="Calibri"/>
        <family val="2"/>
        <scheme val="minor"/>
      </rPr>
      <t xml:space="preserve"> No te olvides de guardar la fórmula</t>
    </r>
  </si>
  <si>
    <t>Fecha de inicio</t>
  </si>
  <si>
    <t>-</t>
  </si>
  <si>
    <t>R&amp;D Leader</t>
  </si>
  <si>
    <t xml:space="preserve">Masa disolución (g) </t>
  </si>
  <si>
    <t>Ratios (%)</t>
  </si>
  <si>
    <t>BURCAR FORMULA</t>
  </si>
  <si>
    <t>FTK-PES-001</t>
  </si>
  <si>
    <t>Porcentaje (%)</t>
  </si>
  <si>
    <t xml:space="preserve"> Disolventes</t>
  </si>
  <si>
    <t>Polímeros</t>
  </si>
  <si>
    <t>Sólidos</t>
  </si>
  <si>
    <t xml:space="preserve">FORMULA </t>
  </si>
  <si>
    <t>TOTAL</t>
  </si>
  <si>
    <t>Comentarios:</t>
  </si>
  <si>
    <t>Añadir PES primero para asegurar que la cantidad es correcta. Añadir DMAc. Añadir SDS.</t>
  </si>
  <si>
    <t>Viscosidad (cP)</t>
  </si>
  <si>
    <t>Tensión superficial (mN/m)</t>
  </si>
  <si>
    <t>Conductividad (microS)</t>
  </si>
  <si>
    <t>Contenido en sólidos (%)</t>
  </si>
  <si>
    <t>Densidad (Kg/l)</t>
  </si>
  <si>
    <t>PH</t>
  </si>
  <si>
    <t>Fecha</t>
  </si>
  <si>
    <t>Disolvente A</t>
  </si>
  <si>
    <t>Porcentaje Disolvente A</t>
  </si>
  <si>
    <t>Ratio Disolvente A</t>
  </si>
  <si>
    <t>Disolvente B</t>
  </si>
  <si>
    <t>Porcentaje Disolvente B</t>
  </si>
  <si>
    <t>Ratio Disolvente B</t>
  </si>
  <si>
    <t>Disolvente C</t>
  </si>
  <si>
    <t>Porcentaje Disolvente C</t>
  </si>
  <si>
    <t>Ratio Disolvente C</t>
  </si>
  <si>
    <t>Polimero A</t>
  </si>
  <si>
    <t>Porcentaje Polimero A</t>
  </si>
  <si>
    <t>Ratio Polimero A</t>
  </si>
  <si>
    <t>Ratio Solidos Polimero A</t>
  </si>
  <si>
    <t>Polimero B</t>
  </si>
  <si>
    <t>Porcentaje Polimero B</t>
  </si>
  <si>
    <t>Ratio Polimero B</t>
  </si>
  <si>
    <t>Ratio Solidos Polimero B</t>
  </si>
  <si>
    <t>Polimero C</t>
  </si>
  <si>
    <t>Porcentaje Polimero C</t>
  </si>
  <si>
    <t>Ratio Polimero C</t>
  </si>
  <si>
    <t>Ratio Solidos Polimero C</t>
  </si>
  <si>
    <t>Aditivo A/ API</t>
  </si>
  <si>
    <t>Porcentaje Aditivo A/ API</t>
  </si>
  <si>
    <t>Ratio Solidos Aditivo A/ API</t>
  </si>
  <si>
    <t>Aditivo B /API</t>
  </si>
  <si>
    <t>Porcentaje Aditivo B /API</t>
  </si>
  <si>
    <t>Ratio Solidos Aditivo B /API</t>
  </si>
  <si>
    <t>Aditivo C /API</t>
  </si>
  <si>
    <t>Porcentaje Aditivo C /API</t>
  </si>
  <si>
    <t>Ratio Solidos Aditivo C /API</t>
  </si>
  <si>
    <t>Comentarios</t>
  </si>
  <si>
    <t>Fecha Caracterización</t>
  </si>
  <si>
    <t>FORMATO</t>
  </si>
  <si>
    <r>
      <t xml:space="preserve">Código: </t>
    </r>
    <r>
      <rPr>
        <b/>
        <sz val="7"/>
        <color theme="1"/>
        <rFont val="Arial"/>
        <family val="2"/>
      </rPr>
      <t>FBIO-1909</t>
    </r>
  </si>
  <si>
    <t xml:space="preserve">FORMULA, PROCESO Y CARACTERIZACIÓN </t>
  </si>
  <si>
    <t>Edición: 3</t>
  </si>
  <si>
    <t>Página 1 de 2</t>
  </si>
  <si>
    <t>Fecha rev: 15/11/2024</t>
  </si>
  <si>
    <t>CARACTERIZACIÓN DISOLUCIONES</t>
  </si>
  <si>
    <t xml:space="preserve">NOMBRE DE LA DISOLUCIÓN: </t>
  </si>
  <si>
    <t xml:space="preserve">FECHA: </t>
  </si>
  <si>
    <t xml:space="preserve">PROYECTO: </t>
  </si>
  <si>
    <t xml:space="preserve">CÓDIGO (BEAS): </t>
  </si>
  <si>
    <t xml:space="preserve">PREPARADA POR: </t>
  </si>
  <si>
    <t>MASA TOTAL:</t>
  </si>
  <si>
    <t>NOMBRE [Polímero, disolvente, disolución u otra sustancia]</t>
  </si>
  <si>
    <t>LOTE/MATERIAL</t>
  </si>
  <si>
    <t>REF.BEAS</t>
  </si>
  <si>
    <t>Masa teórica (g)</t>
  </si>
  <si>
    <t>Masa Real (g)</t>
  </si>
  <si>
    <t>A</t>
  </si>
  <si>
    <t>B</t>
  </si>
  <si>
    <t>C</t>
  </si>
  <si>
    <t>D</t>
  </si>
  <si>
    <t>E</t>
  </si>
  <si>
    <t>F</t>
  </si>
  <si>
    <t>G</t>
  </si>
  <si>
    <t>H</t>
  </si>
  <si>
    <t>I</t>
  </si>
  <si>
    <t>Equipo usado para mezclar</t>
  </si>
  <si>
    <r>
      <t>Temperatura  (</t>
    </r>
    <r>
      <rPr>
        <sz val="9"/>
        <color theme="1"/>
        <rFont val="Calibri"/>
        <family val="2"/>
      </rPr>
      <t>°</t>
    </r>
    <r>
      <rPr>
        <sz val="9"/>
        <color theme="1"/>
        <rFont val="Calibri"/>
        <family val="2"/>
        <scheme val="minor"/>
      </rPr>
      <t>C) y velocidad de agitación (rpm)</t>
    </r>
  </si>
  <si>
    <t>Tiempo agitación (h)</t>
  </si>
  <si>
    <t>Orden de mezclado</t>
  </si>
  <si>
    <t>OBSERVACIONES</t>
  </si>
  <si>
    <t>CARACTERIZACIÓN</t>
  </si>
  <si>
    <t>Marcar con un X el ensayo a realizar.</t>
  </si>
  <si>
    <t>Valor de la medida</t>
  </si>
  <si>
    <t>Rango aceptable</t>
  </si>
  <si>
    <t>Tensión superficial</t>
  </si>
  <si>
    <t>mN/m</t>
  </si>
  <si>
    <t>Conductividad</t>
  </si>
  <si>
    <t>X</t>
  </si>
  <si>
    <t>µS/cm</t>
  </si>
  <si>
    <t>Contenido en sólidos</t>
  </si>
  <si>
    <t>%</t>
  </si>
  <si>
    <t>Densidad</t>
  </si>
  <si>
    <t>kg/l</t>
  </si>
  <si>
    <t>pH</t>
  </si>
  <si>
    <t>Viscosidad</t>
  </si>
  <si>
    <t>cP</t>
  </si>
  <si>
    <t>Temperatura de medida (aceptable: 20-25 °C)</t>
  </si>
  <si>
    <t>RPM (Viscosidad)</t>
  </si>
  <si>
    <t>Husillo (Viscosidad)</t>
  </si>
  <si>
    <t>PROCESO</t>
  </si>
  <si>
    <t>OBJETIVO</t>
  </si>
  <si>
    <t>MONTAJE</t>
  </si>
  <si>
    <t>NºAGUJAS</t>
  </si>
  <si>
    <t>DEFLECTORES</t>
  </si>
  <si>
    <t>SUSTRATO</t>
  </si>
  <si>
    <t>BRAZO ARTICULADO</t>
  </si>
  <si>
    <t>COMENTARIOS</t>
  </si>
  <si>
    <t>Pruebas en HT previas a producción de 4000 metros lineales de producto.</t>
  </si>
  <si>
    <t>INFORMACIÓN GENERAL</t>
  </si>
  <si>
    <t>INYECTOR / SUSTRATO</t>
  </si>
  <si>
    <t>PRUEBAS EN PLANO</t>
  </si>
  <si>
    <t>PRUEBAS CON DRUM</t>
  </si>
  <si>
    <t>PRUEBAS CON R2R</t>
  </si>
  <si>
    <t>PARÁMETROS</t>
  </si>
  <si>
    <t>RESULTADOS</t>
  </si>
  <si>
    <t>Fórmula</t>
  </si>
  <si>
    <t>Propósito</t>
  </si>
  <si>
    <t>Inyector</t>
  </si>
  <si>
    <t>Numero de agujas</t>
  </si>
  <si>
    <t>aguja (G)</t>
  </si>
  <si>
    <t>Sustrato</t>
  </si>
  <si>
    <t>Tiempo de prueba (min)</t>
  </si>
  <si>
    <t>Tipo de Drum</t>
  </si>
  <si>
    <t>Velocidad (rpm)</t>
  </si>
  <si>
    <t>Tiempo de prueba (min)2</t>
  </si>
  <si>
    <t>Ciclos (R2R)</t>
  </si>
  <si>
    <t>Tiempo de prueba (min)3</t>
  </si>
  <si>
    <t>Q1 (mL/h)</t>
  </si>
  <si>
    <t>HV+ (KV)</t>
  </si>
  <si>
    <t>HV- (KV)</t>
  </si>
  <si>
    <t>T (ºC)</t>
  </si>
  <si>
    <t>RH (%)</t>
  </si>
  <si>
    <t>Posicion Y</t>
  </si>
  <si>
    <t>Velocidad sweep Y (mm/s)</t>
  </si>
  <si>
    <t>Amplitud Sweep Y (mm)</t>
  </si>
  <si>
    <t>dZ (mm)</t>
  </si>
  <si>
    <t>Velocidad sweep X  (mm/s)</t>
  </si>
  <si>
    <t>Amplitud Sweep X (mm)</t>
  </si>
  <si>
    <t>Grado de Procesabilidad</t>
  </si>
  <si>
    <t>Comentarios del Proceso</t>
  </si>
  <si>
    <t>Comentarios SEM / Tamaño de Fibra</t>
  </si>
  <si>
    <r>
      <t>REFERENCE</t>
    </r>
    <r>
      <rPr>
        <sz val="11"/>
        <color theme="1"/>
        <rFont val="Calibri"/>
        <family val="2"/>
        <scheme val="minor"/>
      </rPr>
      <t>: AFYX PATCH</t>
    </r>
  </si>
  <si>
    <t>Only Fill the white blanks</t>
  </si>
  <si>
    <r>
      <t>AREA (cm</t>
    </r>
    <r>
      <rPr>
        <b/>
        <vertAlign val="superscript"/>
        <sz val="11"/>
        <color theme="1"/>
        <rFont val="Calibri"/>
        <family val="2"/>
        <scheme val="minor"/>
      </rPr>
      <t>2</t>
    </r>
    <r>
      <rPr>
        <b/>
        <sz val="11"/>
        <color theme="1"/>
        <rFont val="Calibri"/>
        <family val="2"/>
        <scheme val="minor"/>
      </rPr>
      <t>)</t>
    </r>
  </si>
  <si>
    <t xml:space="preserve"> Green color means the values are good</t>
  </si>
  <si>
    <t>PERIMETER (cm)</t>
  </si>
  <si>
    <t>API</t>
  </si>
  <si>
    <t>Required Dose</t>
  </si>
  <si>
    <t>mg</t>
  </si>
  <si>
    <t>LE-100</t>
  </si>
  <si>
    <t>Required Dose per Required Area</t>
  </si>
  <si>
    <t>mg/cm2</t>
  </si>
  <si>
    <t>BIG DRUM AREA  (cm2)</t>
  </si>
  <si>
    <t>Theorical Nº Patches per drum</t>
  </si>
  <si>
    <t>EFECTIVE BIG DRUM AREA  (cm2)</t>
  </si>
  <si>
    <t>REAL Nº Patches per drum</t>
  </si>
  <si>
    <t>Required Area</t>
  </si>
  <si>
    <t>cm2</t>
  </si>
  <si>
    <t>MEDIUM DRUM AREA (cm2)</t>
  </si>
  <si>
    <t>EFECTIVE MEDIUM DRUM AREA (cm2)</t>
  </si>
  <si>
    <t>m2</t>
  </si>
  <si>
    <t>Radio (cm)</t>
  </si>
  <si>
    <t>cm</t>
  </si>
  <si>
    <t>SMALL DRUM AREA (cm2)</t>
  </si>
  <si>
    <t>Diameter  (cm)</t>
  </si>
  <si>
    <t>Surface Density API Layer</t>
  </si>
  <si>
    <t>g/m2</t>
  </si>
  <si>
    <t>LE-500</t>
  </si>
  <si>
    <t>Weight API Layer</t>
  </si>
  <si>
    <t>g</t>
  </si>
  <si>
    <t>REAL SURFACE AREA TO PRODUCE</t>
  </si>
  <si>
    <t>EFFECTIVE SURFACE AREA TO PRODUCE</t>
  </si>
  <si>
    <t>% API in solids content</t>
  </si>
  <si>
    <t>WIDTH ROLL (cm)</t>
  </si>
  <si>
    <t>LENGTH ROLL (cm)</t>
  </si>
  <si>
    <t>AREA (cm2)</t>
  </si>
  <si>
    <t xml:space="preserve">Theorical Nº Patches </t>
  </si>
  <si>
    <t>REAL Nº Patches</t>
  </si>
  <si>
    <t>API amount in API Layer</t>
  </si>
  <si>
    <t>API amount per Required Area</t>
  </si>
  <si>
    <t>Volume (ml)</t>
  </si>
  <si>
    <t>Concentration (ug/ml)/ppm</t>
  </si>
  <si>
    <t>Concentration (ng/ml)/ppb</t>
  </si>
  <si>
    <t>Maximum Drug Penetration/Release Experimental</t>
  </si>
  <si>
    <t>Real Dose</t>
  </si>
  <si>
    <t>Real Dose per Rquired Area</t>
  </si>
  <si>
    <t>Over Dose</t>
  </si>
  <si>
    <t>Over Dose Percentage</t>
  </si>
  <si>
    <t>PROCESSABILITY GRADES</t>
  </si>
  <si>
    <t>GRADOS DE PROCESABILIDAD</t>
  </si>
  <si>
    <t>Unprocessable</t>
  </si>
  <si>
    <t>Dropping, not produce fibers, dirty process, wet mat, unstable at time...</t>
  </si>
  <si>
    <t>IMPOSSIBLE TO UP-SCALING</t>
  </si>
  <si>
    <t>Improcesable</t>
  </si>
  <si>
    <t xml:space="preserve"> Gotea, no produce fibras, proceso sucio,  mat mojado, inestable en el tiempo...
</t>
  </si>
  <si>
    <t>IMPOSIBLE DE ESCALAR</t>
  </si>
  <si>
    <t>Bad Processability</t>
  </si>
  <si>
    <t>Produce fibers, dirty process,  unstable at time, presence of microdrops,delicate enviromental conditions, risk of srinkage…</t>
  </si>
  <si>
    <t>Mala procesabilidad</t>
  </si>
  <si>
    <t>Produce fibras, proceso sucio, inestable en el tiempo, presencia de microgotas, condiciones ambientales delicadas, riesgo de encogimiento……</t>
  </si>
  <si>
    <t>Good Processability</t>
  </si>
  <si>
    <t>Produce fibers,Stable process at time, a little bit dirty, process with 5 with more than 0,5 ml/h per needle, delicate environmental conditions, risk of srinkage…</t>
  </si>
  <si>
    <t>EXCEPTIONALLY POSSIBLE TO UP-SCALING</t>
  </si>
  <si>
    <t>Buena procesabilidad</t>
  </si>
  <si>
    <t>Produce fibras, Proceso estable en el tiempo, un poco sucio, proceso con 5 agujas a caudal superior a 0,5 ml/h por aguja, condiciones ambientales delicadas, riesgo de encogimiento…</t>
  </si>
  <si>
    <t>EXCEPCIONALMENTE ESCALABLE</t>
  </si>
  <si>
    <t>High Processability</t>
  </si>
  <si>
    <t>Produce fibers,stable process at time, clean, process with more than 5 needles with flow more than 1 ml/h per needle, srinkage does not observed...</t>
  </si>
  <si>
    <t>POSSIBLE TO UP-SCALING</t>
  </si>
  <si>
    <t>Alta procesabilidad</t>
  </si>
  <si>
    <t>Produce fibras, proceso estable en el tiempo, limpio, procesa con más de 5 agujas a caudal superior o igual a 1 ml/h por aguja, no se observa encogimiento…</t>
  </si>
  <si>
    <t>POSIBLE PARA ESCALAR</t>
  </si>
  <si>
    <t>FTK-CelAc-003</t>
  </si>
  <si>
    <t>FTK-CelAc-004</t>
  </si>
  <si>
    <t>FTK-CelAc-005</t>
  </si>
  <si>
    <t>FTK-CelAc-006</t>
  </si>
  <si>
    <t>Water</t>
  </si>
  <si>
    <t>Cellulose Acetate</t>
  </si>
  <si>
    <t>Dimethyl Sulfoxide</t>
  </si>
  <si>
    <t>Ethyl Acetate</t>
  </si>
  <si>
    <t>Electrospin cellulose acetate using class 3 solvets only</t>
  </si>
  <si>
    <t>Same as above</t>
  </si>
  <si>
    <t>The one that's normally on the LE-100</t>
  </si>
  <si>
    <t>Black plastic</t>
  </si>
  <si>
    <t>Sol'n gels and dries around the needle, even at 60% humidity and 2.5 mL/h.</t>
  </si>
  <si>
    <t>FTK-CelAc-007</t>
  </si>
  <si>
    <t>FTK-CelAc-008</t>
  </si>
  <si>
    <t>For complete dissolution:
while stirring, heat to 50 °C for ~30 min.</t>
  </si>
  <si>
    <t>Decent fibers (but process was terrible)</t>
  </si>
  <si>
    <t>Increase polymer concentration to avoid beaded fibers</t>
  </si>
  <si>
    <t>Same as above + incrase flow rate as well to see if it helps avoiding beaded fibers</t>
  </si>
  <si>
    <t>Extremely beaded fibers. Concentration is still too low, but it’s not as bad. The lighter solvent mixture is better, as no casting is observed, meaning fibers had time to dry before reaching the collector.</t>
  </si>
  <si>
    <t>FTK-CelAc-009</t>
  </si>
  <si>
    <t>For complete dissolution:
while stirring, heat to 50 °C for ~45 min.</t>
  </si>
  <si>
    <t>Eliminate beading observed above</t>
  </si>
  <si>
    <t>Same, at a higher flow rate</t>
  </si>
  <si>
    <t>Before T and H settled, occasional dripping was observed, which was reduced upon slightly increasing the voltage.</t>
  </si>
  <si>
    <t>Same as above.</t>
  </si>
  <si>
    <t>More beaded than the 15% sol'n</t>
  </si>
  <si>
    <t>Eliminate beading</t>
  </si>
  <si>
    <t>Eliminate beading and dripping</t>
  </si>
  <si>
    <t>22, blue</t>
  </si>
  <si>
    <t>24, red</t>
  </si>
  <si>
    <t>Little no no dripping (but dripping at higher flow rates), spiral dances a little bit</t>
  </si>
  <si>
    <t>No dripping, but spiral dances a bit more than for the larger needle (hence voltage was decreased)</t>
  </si>
  <si>
    <t>Beaded fibers, possibly due to the low flow rate.</t>
  </si>
  <si>
    <t>Somewhat beaded fibers, much better than the 13% sol'n.</t>
  </si>
  <si>
    <t>4, 5</t>
  </si>
  <si>
    <t>FTK-CelAc-003
(15% in 70% Acetone + 15% Water)</t>
  </si>
  <si>
    <t>FTK-CelAc-004
(15% in 42.5% DMSO + 42.5% Eth.Ac.)</t>
  </si>
  <si>
    <t>FTK-CelAc-005
(10% in 45% DMSO + 45% Eth.Ac.)</t>
  </si>
  <si>
    <t>FTK-CelAc-006
(13% in 37% DMSO + 50% Eth.Ac.)</t>
  </si>
  <si>
    <t>FTK-CelAc-007
(15% in 35% DMSO + 50% Eth.Ac.)</t>
  </si>
  <si>
    <t>FTK-CelAc-009
(17% in 40% DMSO + 43% Eth.Ac.)</t>
  </si>
  <si>
    <t>FTK-CelAc-008
(15% in 40% DMSO + 45% Eth.Ac.)</t>
  </si>
  <si>
    <t>Displays a jet 0.5-1 cm long before it spirals out, as do all samples below.
Process is stable.</t>
  </si>
  <si>
    <t>Process is stable.</t>
  </si>
  <si>
    <t>Higher V =&gt; Spiral "dances".
Higher Q =&gt; Dripping.</t>
  </si>
  <si>
    <t>Sol'n is not stable.</t>
  </si>
  <si>
    <t>SEM
#</t>
  </si>
  <si>
    <t>Spiral dances a tiny bit, stabilizes with time.</t>
  </si>
  <si>
    <r>
      <t xml:space="preserve">Fibers + Casting (maybe beads as well).
</t>
    </r>
    <r>
      <rPr>
        <u/>
        <sz val="11"/>
        <color theme="1"/>
        <rFont val="Calibri"/>
        <family val="2"/>
        <scheme val="minor"/>
      </rPr>
      <t>Sol'n is too heavy and WD is too small.</t>
    </r>
  </si>
  <si>
    <r>
      <t xml:space="preserve">Particles + Casting, the occasional fiber.
</t>
    </r>
    <r>
      <rPr>
        <u/>
        <sz val="11"/>
        <color theme="1"/>
        <rFont val="Calibri"/>
        <family val="2"/>
        <scheme val="minor"/>
      </rPr>
      <t>Polymer concentration is too low.</t>
    </r>
  </si>
  <si>
    <t>Even more beaded than at 0.6 mL/h.
Beads are fusing into fibers, indicating they landed wet onto the mat</t>
  </si>
  <si>
    <t>Beaded fibers. Fibers are dry, beads are somewhat fused (wet).</t>
  </si>
  <si>
    <t>Beaded fibers. Fibers are dry, beads are slightly fused (less than #12)</t>
  </si>
  <si>
    <t>Air flow
[m^3/h]</t>
  </si>
  <si>
    <t>FTK-CelAc-010</t>
  </si>
  <si>
    <r>
      <t xml:space="preserve">For complete dissolution:
while stirring, heat to 50 °C for ~30 min.
</t>
    </r>
    <r>
      <rPr>
        <b/>
        <sz val="11"/>
        <color theme="1"/>
        <rFont val="Calibri"/>
        <family val="2"/>
        <scheme val="minor"/>
      </rPr>
      <t>SOL'N NOT STABLE</t>
    </r>
  </si>
  <si>
    <t>Eliminate beading by increasing V</t>
  </si>
  <si>
    <t>Spiral dances a lot.</t>
  </si>
  <si>
    <t>Eliminate beading by increasing polymer conc.</t>
  </si>
  <si>
    <t>30+-</t>
  </si>
  <si>
    <t>20%+-</t>
  </si>
  <si>
    <t>Spiral is stable.
Ecu is unstable: 19%&lt;H&lt;24%</t>
  </si>
  <si>
    <t>Eliminate beading by increasing both polymer conc. AND voltage.</t>
  </si>
  <si>
    <t>Spiral is at an angle but stable (little to no dancing), in spite of the high voltage - higher stability than #14.
Ecu is unstable: 19%&lt;H&lt;24%</t>
  </si>
  <si>
    <t>Make thinner fibers by lowering Q</t>
  </si>
  <si>
    <t>Nearly as good as #15, with a few artifacts.
Fiber diameter: 200-620 nm</t>
  </si>
  <si>
    <t>Spiral is stable.
Ecu is semi-stable: 20%&lt;H&lt;22%</t>
  </si>
  <si>
    <t>4602 cP
@ 26.2 °C</t>
  </si>
  <si>
    <t>Conductividad (µS/cm)</t>
  </si>
  <si>
    <t>Good fibers, but there are more defects than for #15 (0.6 mL/h).
Fiber diameter: 140-1070 nm</t>
  </si>
  <si>
    <r>
      <t xml:space="preserve">Beautiful fibers, zero beading, zero fusing.
Fiber diameter: </t>
    </r>
    <r>
      <rPr>
        <b/>
        <i/>
        <sz val="11"/>
        <color theme="1"/>
        <rFont val="Calibri"/>
        <family val="2"/>
        <scheme val="minor"/>
      </rPr>
      <t>µ</t>
    </r>
    <r>
      <rPr>
        <b/>
        <sz val="11"/>
        <color theme="1"/>
        <rFont val="Calibri"/>
        <family val="2"/>
        <scheme val="minor"/>
      </rPr>
      <t>=330, stdev=90 nm</t>
    </r>
  </si>
  <si>
    <t>FTK-CelAc-010a</t>
  </si>
  <si>
    <t>For complete dissolution:
while stirring, heat to 50 °C for ~90 min.</t>
  </si>
  <si>
    <t>Upscale to one injector of 20 needles</t>
  </si>
  <si>
    <t>17 gsm SPP</t>
  </si>
  <si>
    <t>0.5 / needle</t>
  </si>
  <si>
    <t>Almost perfectly stable.
Dripping at lower voltages.
Tiny amount of spiral dancing.</t>
  </si>
  <si>
    <t>Upscale beyond one injector</t>
  </si>
  <si>
    <t>Static: compare three injectors</t>
  </si>
  <si>
    <t>0.45 / needle</t>
  </si>
  <si>
    <t>250 +/- 25</t>
  </si>
  <si>
    <t>3 x 20</t>
  </si>
  <si>
    <t>Note: injectors at pos. 4, 7, 10 (left=&gt;right).
Same as #19.</t>
  </si>
  <si>
    <t>Note: injectors at pos. 4, 7, 10 (left=&gt;right).
Edge effects near right injector, jets are less stable there. Otherwise jets are fairly stable.
"Puntitos" on material - indicating micro-dripping or a similar problem.
Mat is heterogeneous (probably due to net-type collector - changed after #22).</t>
  </si>
  <si>
    <r>
      <t xml:space="preserve">Note: injectors at pos. 3, 6, 9 (left=&gt;right).
Note: Also tried pos. 4, 6, 8: dripping at central injector, so spaces of </t>
    </r>
    <r>
      <rPr>
        <b/>
        <u/>
        <sz val="11"/>
        <color theme="1"/>
        <rFont val="Calibri"/>
        <family val="2"/>
        <scheme val="minor"/>
      </rPr>
      <t>3</t>
    </r>
    <r>
      <rPr>
        <sz val="11"/>
        <color theme="1"/>
        <rFont val="Calibri"/>
        <family val="2"/>
        <scheme val="minor"/>
      </rPr>
      <t xml:space="preserve"> are required.
Edge effects eliminated!
Otherwise same as #19.</t>
    </r>
  </si>
  <si>
    <t>Static test to see differences between the 3 injectors.
#22 L, C, R: left, central, right injectors, respectively.</t>
  </si>
  <si>
    <t>Prepared: 20%
Measured: 20.67%
Prepared value is more realiable</t>
  </si>
  <si>
    <t>Prepared: 20%
Measured: 19.81%
Prepared value is more realiable</t>
  </si>
  <si>
    <t>FTK-CelAc-010b</t>
  </si>
  <si>
    <t>Belt collector instead of metal netting - for a more homogeneous mat</t>
  </si>
  <si>
    <t>250 +/- 50</t>
  </si>
  <si>
    <t>Jets look mostly fine, with the occational instability.
Mat is still textured and heterogeneous - the belt collector helps but not enough.
Some points on mat imply dripping.</t>
  </si>
  <si>
    <t>Fibers. More defects than for a single needle. Zero beading.
Fiber diameter: µ=500, stdev=150 nm</t>
  </si>
  <si>
    <t>Fibers. More defects than for a single needle. Zero beading.
Fiber diameter: µ=460, stdev=150 nm</t>
  </si>
  <si>
    <t>Fibers. More defects than for a single needle. Zero beading.
Fiber diameter: µ=530, stdev=150 nm</t>
  </si>
  <si>
    <t>Some areas are pure casting (static)</t>
  </si>
  <si>
    <t>Better than the previous 20 and 60 needle samples - pure fibers, very few defects.
Fiber diameter: µ=490, stdev=130 nm</t>
  </si>
  <si>
    <t>1.064
@ 23.3 °C</t>
  </si>
  <si>
    <t>2 x20</t>
  </si>
  <si>
    <t>250 +/- 100</t>
  </si>
  <si>
    <t>Jets look good.
"Puntitos" on mat - Voltage might be too high.
Again, small-scale texture.</t>
  </si>
  <si>
    <t>2 x 20</t>
  </si>
  <si>
    <t>Test effect of Q (and, by necessity, V) on mat</t>
  </si>
  <si>
    <t>Jets look good, but process seems on the edge of instability.
Deflectors back to normal.</t>
  </si>
  <si>
    <t>Eliminate material banding by replacing belt collector with a solid metal plate collector (belt has some damage).</t>
  </si>
  <si>
    <t>Eliminte "puntios" found in #24 by lowering V (optimal V expected to decrease with fewer needles anyway)</t>
  </si>
  <si>
    <t>See texture with siliconized paper on perforated metal collector.</t>
  </si>
  <si>
    <t>See if process is more stable and mat is more homogeneous on conudctive PE</t>
  </si>
  <si>
    <t>Siliconized paper</t>
  </si>
  <si>
    <t>Conductive PE</t>
  </si>
  <si>
    <t>150&lt;=&gt;270</t>
  </si>
  <si>
    <t>Process looks stable.
Texture is either almost or completely gone.
No striping.
Puntitos are still there.
Better than siliconized paper.</t>
  </si>
  <si>
    <t>Jets look good. One neddle was dripping at 19-(-16)kV. Dripping at 20-(-16) as well!
Near-right deflector rotated upwards.
All mats on PP show a texture (see on the right)</t>
  </si>
  <si>
    <t>Photo</t>
  </si>
  <si>
    <t>FTK-CelAc-010c</t>
  </si>
  <si>
    <t>Good fibers, few imperfections.
Fiber diameter: µ=490, stdev=160 nm</t>
  </si>
  <si>
    <t>Good fibers, few to no imperfections.
Fiber diameter: µ=480, stdev=150 nm</t>
  </si>
  <si>
    <t>Good fibers, few imperfections. Possibly fewer imperfections on top than on bottom.
Fiber diameter: µ=550, stdev=170 nm</t>
  </si>
  <si>
    <t>Good fibers, few imperfections. Possibly fewer imperfections on top than on bottom.
Fiber diameter: µ=540, stdev=160 nm</t>
  </si>
  <si>
    <t>Decent fibers, some thicker fibers fusing into their neighbours. Flow rate issue?
Fiber diameter: µ=570, stdev=220 nm</t>
  </si>
  <si>
    <t>See if texture still appears on 25 gsm PET</t>
  </si>
  <si>
    <t>See if puntitos are eliminated by turning sweep off</t>
  </si>
  <si>
    <t>2 x 37</t>
  </si>
  <si>
    <t>25 gsm PET</t>
  </si>
  <si>
    <t>22, 22</t>
  </si>
  <si>
    <t>18-20%</t>
  </si>
  <si>
    <t>245-255</t>
  </si>
  <si>
    <t>Jets look good.
Material: fewer "puntitas", but of course no sweep =&gt; lines on material, not good. Sweep appaers to be mandatory.</t>
  </si>
  <si>
    <t>Get rid of stripes caused by perforated metal collector.</t>
  </si>
  <si>
    <t>Jets look good.
Material: many many "puntitos"
Stripes correlating exactly to the perforations in the metal (2.8-2.9 stripes/cm)</t>
  </si>
  <si>
    <r>
      <t xml:space="preserve">Done with one deflector rotated up to prevent dripping at its nearest needle.
Some instability, some dripping.
The texture that was visible on PP is almost or completely gone.
Some striping along the </t>
    </r>
    <r>
      <rPr>
        <i/>
        <sz val="11"/>
        <color theme="1"/>
        <rFont val="Times New Roman"/>
        <family val="1"/>
      </rPr>
      <t>x</t>
    </r>
    <r>
      <rPr>
        <sz val="11"/>
        <color theme="1"/>
        <rFont val="Calibri"/>
        <family val="2"/>
        <scheme val="minor"/>
      </rPr>
      <t>-axis, probably due to perforations on metal collector.
Some puntitos.</t>
    </r>
  </si>
  <si>
    <t>18-19%</t>
  </si>
  <si>
    <t>Jets look good.
Paper develops folds.
Some puntitos.</t>
  </si>
  <si>
    <t>[Not a proper sample] optimize V and paper positioning</t>
  </si>
  <si>
    <t>Prevent casting around center by decreasing Q, increasing T, decreasing H</t>
  </si>
  <si>
    <t>0.42 / needle</t>
  </si>
  <si>
    <t>23, 24</t>
  </si>
  <si>
    <t>Possibly some casting</t>
  </si>
  <si>
    <t>Mostly fine. "Puntitos" coming from a few specific needles near the centers of both injectors.
One "magic wanding" of a needle =&gt; a bunch of droplets and puntitos.</t>
  </si>
  <si>
    <t>5004
@ 21 °C</t>
  </si>
  <si>
    <t>4878
24.7 °C</t>
  </si>
  <si>
    <t>24, 24=&gt;25</t>
  </si>
  <si>
    <r>
      <t xml:space="preserve">2 x </t>
    </r>
    <r>
      <rPr>
        <b/>
        <sz val="11"/>
        <color theme="1"/>
        <rFont val="Calibri"/>
        <family val="2"/>
        <scheme val="minor"/>
      </rPr>
      <t>34</t>
    </r>
  </si>
  <si>
    <t>0.4 / needle</t>
  </si>
  <si>
    <t>23, 23</t>
  </si>
  <si>
    <t>240-260</t>
  </si>
  <si>
    <t>0.160
@10%</t>
  </si>
  <si>
    <t>Eliminate "puntitos", folds, dripping, instabilities, material loss.
Removed needles # 1, 19, 37 from injectors.</t>
  </si>
  <si>
    <t>Velocidad (mm/s)
@ Tensión</t>
  </si>
  <si>
    <t>Jets look good. Some of the time, the back jets go outside of the substrate [after ~45 min, it happened more]. No substrate folding unless pressing "jog".
Still some "puntitos" on mat!
One needle near center of left injector showing a large taylor cone / potential drop, but not as bad as before removing neddles #19 from injector.
Some "mountain" growing outside of belt.
Lower RTR velocity =&gt; less pronounced "mountains", just for the amount of material.
Stripes on mat (visible through light) - tension probably too high.</t>
  </si>
  <si>
    <t>Obtain thinner fibers and more stable process by having needles further apart.
Eliminate lines by increasing tension on SiO2 paper.</t>
  </si>
  <si>
    <t>25, 25</t>
  </si>
  <si>
    <t>240-265</t>
  </si>
  <si>
    <t>0.127
@40%</t>
  </si>
  <si>
    <t>Process: no dripping, a couple of needles with large taylor cones, but generally fine and better than before removing half of the needles. Some of the time, material is attracted to outside of the collector. Sometimes fiber bridges are formed.
Mat: Showing stripes along the x-direction, probably due to tension on the SiO2 paper (appeared in both 10% and 40% tension).</t>
  </si>
  <si>
    <t>Top shows fewer defects than bottom.
Fiber diameter: µ=500, stdev=180 nm</t>
  </si>
  <si>
    <t>Decent fibers.
Bottom was difficult to focus on SEM as it wasn't flat (imaging issue, not material issue).
Bottom also shows thinner fibers, and is under-represented in the overall data for being harder to measure:
Bottom: µ=350, stdev=70 nm (n=45)
Top: µ=500, stdev=160 nm (n=82)
Total: µ=450, stdev=160 nm</t>
  </si>
  <si>
    <r>
      <t xml:space="preserve">4 x </t>
    </r>
    <r>
      <rPr>
        <b/>
        <sz val="11"/>
        <color theme="1"/>
        <rFont val="Calibri"/>
        <family val="2"/>
        <scheme val="minor"/>
      </rPr>
      <t>17</t>
    </r>
    <r>
      <rPr>
        <sz val="11"/>
        <color theme="1"/>
        <rFont val="Calibri"/>
        <family val="2"/>
        <scheme val="minor"/>
      </rPr>
      <t xml:space="preserve">
Conf.05-19</t>
    </r>
  </si>
  <si>
    <t>4 x 17
Conf.05-20</t>
  </si>
  <si>
    <t>0.127
@20%</t>
  </si>
  <si>
    <t>0.3 / needle</t>
  </si>
  <si>
    <t>220-280</t>
  </si>
  <si>
    <t>4 x 17
Conf.05-19</t>
  </si>
  <si>
    <t>See if injectors can be places closer together (no spacing).
Also work at a reduced Q.</t>
  </si>
  <si>
    <t>7-8 of the 34 needles at the two central injectors show borderline dripping, in spite of the lower Q. V increased to compensate with partial success but creating problems of threading (fiber bridging from needles to material).</t>
  </si>
  <si>
    <t>4 x 17
Conf.05-21
No deflect.</t>
  </si>
  <si>
    <t>0.093
@20%</t>
  </si>
  <si>
    <t>24, 24</t>
  </si>
  <si>
    <t>Reduce Q to stabilize process.
Increase sweep to avoid lines (even at the cost of material being lost to outside the collector).
With no deflectors</t>
  </si>
  <si>
    <t>Too much chaos with no deflectors.</t>
  </si>
  <si>
    <t>220-280
to
230-290</t>
  </si>
  <si>
    <t>Reduce Q to stabilize process.
Increase sweep to avoid lines (even at the cost of material being lost to outside the collector).
With deflectors
Shift sweep to prevent material going out of collector (eventually it can create bridges)</t>
  </si>
  <si>
    <t>Better than previous. Deflectors help. Some material is still lost, probably due to the larger sweep range, but it's worth it if itgets rid of the lines on the mat.
Sweep shifted by 10 mm towards operator to prevent material loss - because material loss also formed a bridge from deflector to side of collector. Following that change, a bridge from deflector to collector was formed several times on the near-operator side, and had to be manually removed each time.</t>
  </si>
  <si>
    <t>Decent fibers.
Imaging bottom of sample gives skewed results.
Top: µ=560 nm, stdev=140 nm
Total: µ=530, stdev=120 nm</t>
  </si>
  <si>
    <t>Fibers look good.
Imaging bottom of sample gives skewed results.
Top: µ=500 nm, stdev=130 nm</t>
  </si>
  <si>
    <t>10 A4 samples to send to Sefar</t>
  </si>
  <si>
    <t>0.095
@20%</t>
  </si>
  <si>
    <t>230-280
to
230-270</t>
  </si>
  <si>
    <t>50
to
40</t>
  </si>
  <si>
    <t>Fluffy samples harder to SEM well.
Fibers look good.
Values might be skewed towards thinner fibers due to sample being fluffy:
µ=470 nm, stdev=100 nm</t>
  </si>
  <si>
    <r>
      <rPr>
        <b/>
        <u/>
        <sz val="11"/>
        <color theme="1"/>
        <rFont val="Calibri"/>
        <family val="2"/>
        <scheme val="minor"/>
      </rPr>
      <t>10 A4-size sheets sent to sefar.</t>
    </r>
    <r>
      <rPr>
        <sz val="11"/>
        <color theme="1"/>
        <rFont val="Calibri"/>
        <family val="2"/>
        <scheme val="minor"/>
      </rPr>
      <t xml:space="preserve">
Jets look good.
Mat: Decent but not perfect, some puntitos.
</t>
    </r>
    <r>
      <rPr>
        <b/>
        <u/>
        <sz val="11"/>
        <color theme="1"/>
        <rFont val="Calibri"/>
        <family val="2"/>
        <scheme val="minor"/>
      </rPr>
      <t>One</t>
    </r>
    <r>
      <rPr>
        <sz val="11"/>
        <color theme="1"/>
        <rFont val="Calibri"/>
        <family val="2"/>
        <scheme val="minor"/>
      </rPr>
      <t xml:space="preserve"> bad needle (left-most injector, fifth needle form the far side) was intermitant between spinning and sputtering, horribly maring the mat. Needle replaced, injectors re-leveled, sample restarted.
Reduced max sweep to 270 as material kept making bridges between collector and deflectors. It helped for a few minutes.
Material was bridging on both sides of the collector (sometimes one, sometimes the other, sometimes both, sometimes neither).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</si>
</sst>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 #,##0.00\ &quot;€&quot;_-;\-* #,##0.00\ &quot;€&quot;_-;_-* &quot;-&quot;??\ &quot;€&quot;_-;_-@_-"/>
    <numFmt numFmtId="165" formatCode="0.0%"/>
    <numFmt numFmtId="166" formatCode="0.000%"/>
    <numFmt numFmtId="167" formatCode="0.000"/>
  </numFmts>
  <fonts count="43" x14ac:knownFonts="1">
    <font>
      <sz val="11"/>
      <color theme="1"/>
      <name val="Calibri"/>
      <family val="2"/>
      <scheme val="minor"/>
    </font>
    <font>
      <b/>
      <sz val="11"/>
      <color theme="1" tint="0.249977111117893"/>
      <name val="Calibri"/>
      <family val="2"/>
      <scheme val="minor"/>
    </font>
    <font>
      <b/>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4"/>
      <color theme="1"/>
      <name val="Calibri"/>
      <family val="2"/>
      <scheme val="minor"/>
    </font>
    <font>
      <sz val="14"/>
      <color theme="1"/>
      <name val="Calibri"/>
      <family val="2"/>
      <scheme val="minor"/>
    </font>
    <font>
      <b/>
      <vertAlign val="superscript"/>
      <sz val="11"/>
      <color theme="1"/>
      <name val="Calibri"/>
      <family val="2"/>
      <scheme val="minor"/>
    </font>
    <font>
      <sz val="11"/>
      <name val="Calibri"/>
      <family val="2"/>
      <scheme val="minor"/>
    </font>
    <font>
      <b/>
      <sz val="11"/>
      <color rgb="FF000000"/>
      <name val="Calibri"/>
      <family val="2"/>
      <scheme val="minor"/>
    </font>
    <font>
      <sz val="10"/>
      <color theme="1"/>
      <name val="Times New Roman"/>
      <family val="1"/>
    </font>
    <font>
      <sz val="11"/>
      <color rgb="FF000000"/>
      <name val="Calibri"/>
      <family val="2"/>
      <scheme val="minor"/>
    </font>
    <font>
      <b/>
      <sz val="12"/>
      <color rgb="FF000000"/>
      <name val="Calibri"/>
      <family val="2"/>
      <scheme val="minor"/>
    </font>
    <font>
      <b/>
      <i/>
      <sz val="11"/>
      <color rgb="FF000000"/>
      <name val="Calibri"/>
      <family val="2"/>
      <scheme val="minor"/>
    </font>
    <font>
      <b/>
      <sz val="16"/>
      <color rgb="FF000000"/>
      <name val="Arial"/>
      <family val="2"/>
    </font>
    <font>
      <b/>
      <sz val="12"/>
      <color theme="1"/>
      <name val="Arial"/>
      <family val="2"/>
    </font>
    <font>
      <b/>
      <sz val="14"/>
      <color theme="1"/>
      <name val="Arial"/>
      <family val="2"/>
    </font>
    <font>
      <sz val="12"/>
      <color rgb="FF000000"/>
      <name val="Calibri"/>
      <family val="2"/>
      <scheme val="minor"/>
    </font>
    <font>
      <b/>
      <sz val="11"/>
      <color rgb="FFFF0000"/>
      <name val="Calibri"/>
      <family val="2"/>
      <scheme val="minor"/>
    </font>
    <font>
      <b/>
      <sz val="8"/>
      <color rgb="FF000000"/>
      <name val="Tahoma"/>
      <family val="2"/>
    </font>
    <font>
      <sz val="8"/>
      <color rgb="FF000000"/>
      <name val="Tahoma"/>
      <family val="2"/>
    </font>
    <font>
      <sz val="9"/>
      <color theme="1"/>
      <name val="Calibri"/>
      <family val="2"/>
      <scheme val="minor"/>
    </font>
    <font>
      <b/>
      <sz val="8"/>
      <color rgb="FF002060"/>
      <name val="Calibri"/>
      <family val="2"/>
      <scheme val="minor"/>
    </font>
    <font>
      <b/>
      <sz val="8"/>
      <color rgb="FF000000"/>
      <name val="Calibri"/>
      <family val="2"/>
      <scheme val="minor"/>
    </font>
    <font>
      <sz val="7"/>
      <color theme="1"/>
      <name val="Arial"/>
      <family val="2"/>
    </font>
    <font>
      <b/>
      <sz val="7"/>
      <color theme="1"/>
      <name val="Arial"/>
      <family val="2"/>
    </font>
    <font>
      <b/>
      <sz val="12"/>
      <color theme="1"/>
      <name val="Calibri"/>
      <family val="2"/>
      <scheme val="minor"/>
    </font>
    <font>
      <b/>
      <sz val="11"/>
      <color rgb="FF00B050"/>
      <name val="Calibri"/>
      <family val="2"/>
      <scheme val="minor"/>
    </font>
    <font>
      <b/>
      <sz val="11"/>
      <color rgb="FF00B0F0"/>
      <name val="Calibri"/>
      <family val="2"/>
      <scheme val="minor"/>
    </font>
    <font>
      <sz val="9"/>
      <color rgb="FF000000"/>
      <name val="Calibri"/>
      <family val="2"/>
      <scheme val="minor"/>
    </font>
    <font>
      <i/>
      <sz val="10"/>
      <color rgb="FF000000"/>
      <name val="Calibri"/>
      <family val="2"/>
      <scheme val="minor"/>
    </font>
    <font>
      <sz val="9"/>
      <color theme="1"/>
      <name val="Calibri"/>
      <family val="2"/>
    </font>
    <font>
      <sz val="12"/>
      <name val="Calibri"/>
      <family val="2"/>
      <scheme val="minor"/>
    </font>
    <font>
      <b/>
      <sz val="12"/>
      <name val="Calibri"/>
      <family val="2"/>
      <scheme val="minor"/>
    </font>
    <font>
      <i/>
      <sz val="12"/>
      <name val="Calibri"/>
      <family val="2"/>
      <scheme val="minor"/>
    </font>
    <font>
      <sz val="11"/>
      <color rgb="FF9C5700"/>
      <name val="Calibri"/>
      <family val="2"/>
      <scheme val="minor"/>
    </font>
    <font>
      <sz val="11"/>
      <color theme="0"/>
      <name val="Calibri"/>
      <family val="2"/>
      <scheme val="minor"/>
    </font>
    <font>
      <u/>
      <sz val="11"/>
      <color theme="1"/>
      <name val="Calibri"/>
      <family val="2"/>
      <scheme val="minor"/>
    </font>
    <font>
      <b/>
      <i/>
      <sz val="11"/>
      <color theme="1"/>
      <name val="Calibri"/>
      <family val="2"/>
      <scheme val="minor"/>
    </font>
    <font>
      <b/>
      <u/>
      <sz val="11"/>
      <color theme="1"/>
      <name val="Calibri"/>
      <family val="2"/>
      <scheme val="minor"/>
    </font>
    <font>
      <i/>
      <sz val="11"/>
      <color theme="1"/>
      <name val="Times New Roman"/>
      <family val="1"/>
    </font>
    <font>
      <sz val="11"/>
      <color theme="1" tint="0.249977111117893"/>
      <name val="Calibri"/>
      <family val="2"/>
      <scheme val="minor"/>
    </font>
  </fonts>
  <fills count="40">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4"/>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2"/>
        <bgColor indexed="64"/>
      </patternFill>
    </fill>
    <fill>
      <patternFill patternType="solid">
        <fgColor theme="2" tint="-0.249977111117893"/>
        <bgColor indexed="64"/>
      </patternFill>
    </fill>
    <fill>
      <patternFill patternType="lightDown">
        <fgColor auto="1"/>
        <bgColor theme="2"/>
      </patternFill>
    </fill>
    <fill>
      <patternFill patternType="solid">
        <fgColor theme="5" tint="0.39997558519241921"/>
        <bgColor indexed="64"/>
      </patternFill>
    </fill>
    <fill>
      <patternFill patternType="solid">
        <fgColor theme="5" tint="0.79998168889431442"/>
        <bgColor indexed="64"/>
      </patternFill>
    </fill>
    <fill>
      <patternFill patternType="solid">
        <fgColor rgb="FFFF00FF"/>
        <bgColor indexed="64"/>
      </patternFill>
    </fill>
    <fill>
      <patternFill patternType="solid">
        <fgColor rgb="FFFFCCFF"/>
        <bgColor indexed="64"/>
      </patternFill>
    </fill>
    <fill>
      <patternFill patternType="solid">
        <fgColor theme="2" tint="-9.9978637043366805E-2"/>
        <bgColor indexed="64"/>
      </patternFill>
    </fill>
    <fill>
      <patternFill patternType="solid">
        <fgColor rgb="FF009999"/>
        <bgColor indexed="64"/>
      </patternFill>
    </fill>
    <fill>
      <patternFill patternType="solid">
        <fgColor theme="4" tint="0.39997558519241921"/>
        <bgColor indexed="64"/>
      </patternFill>
    </fill>
    <fill>
      <patternFill patternType="solid">
        <fgColor rgb="FFD9D9D9"/>
        <bgColor indexed="64"/>
      </patternFill>
    </fill>
    <fill>
      <patternFill patternType="solid">
        <fgColor theme="0" tint="-0.34998626667073579"/>
        <bgColor indexed="64"/>
      </patternFill>
    </fill>
    <fill>
      <patternFill patternType="solid">
        <fgColor rgb="FFFF5050"/>
        <bgColor indexed="64"/>
      </patternFill>
    </fill>
    <fill>
      <patternFill patternType="solid">
        <fgColor rgb="FFFFC000"/>
        <bgColor indexed="64"/>
      </patternFill>
    </fill>
    <fill>
      <patternFill patternType="solid">
        <fgColor rgb="FF00B0F0"/>
        <bgColor indexed="64"/>
      </patternFill>
    </fill>
    <fill>
      <patternFill patternType="solid">
        <fgColor rgb="FF00B050"/>
        <bgColor indexed="64"/>
      </patternFill>
    </fill>
    <fill>
      <patternFill patternType="solid">
        <fgColor rgb="FFCC99FF"/>
        <bgColor indexed="64"/>
      </patternFill>
    </fill>
    <fill>
      <patternFill patternType="solid">
        <fgColor rgb="FF9933FF"/>
        <bgColor indexed="64"/>
      </patternFill>
    </fill>
    <fill>
      <patternFill patternType="solid">
        <fgColor rgb="FFFFEB9C"/>
      </patternFill>
    </fill>
    <fill>
      <patternFill patternType="solid">
        <fgColor theme="6"/>
      </patternFill>
    </fill>
    <fill>
      <patternFill patternType="solid">
        <fgColor theme="7"/>
      </patternFill>
    </fill>
    <fill>
      <patternFill patternType="solid">
        <fgColor theme="9"/>
      </patternFill>
    </fill>
    <fill>
      <patternFill patternType="solid">
        <fgColor theme="6" tint="0.59999389629810485"/>
        <bgColor indexed="64"/>
      </patternFill>
    </fill>
    <fill>
      <patternFill patternType="solid">
        <fgColor theme="2" tint="-9.9948118533890809E-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4" tint="0.59999389629810485"/>
        <bgColor indexed="65"/>
      </patternFill>
    </fill>
    <fill>
      <patternFill patternType="solid">
        <fgColor rgb="FF92D050"/>
        <bgColor indexed="64"/>
      </patternFill>
    </fill>
    <fill>
      <patternFill patternType="solid">
        <fgColor rgb="FFCC0099"/>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rgb="FFFF0000"/>
      </right>
      <top style="thin">
        <color indexed="64"/>
      </top>
      <bottom style="medium">
        <color rgb="FFFF0000"/>
      </bottom>
      <diagonal/>
    </border>
    <border>
      <left style="thin">
        <color indexed="64"/>
      </left>
      <right style="medium">
        <color indexed="64"/>
      </right>
      <top/>
      <bottom style="thin">
        <color indexed="64"/>
      </bottom>
      <diagonal/>
    </border>
    <border>
      <left style="medium">
        <color indexed="64"/>
      </left>
      <right/>
      <top style="thin">
        <color indexed="64"/>
      </top>
      <bottom style="double">
        <color indexed="64"/>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rgb="FFFF0000"/>
      </left>
      <right style="medium">
        <color rgb="FFFF0000"/>
      </right>
      <top style="medium">
        <color rgb="FFFF0000"/>
      </top>
      <bottom/>
      <diagonal/>
    </border>
    <border>
      <left style="hair">
        <color rgb="FF000000"/>
      </left>
      <right style="hair">
        <color rgb="FF000000"/>
      </right>
      <top style="hair">
        <color rgb="FF000000"/>
      </top>
      <bottom style="hair">
        <color rgb="FF000000"/>
      </bottom>
      <diagonal/>
    </border>
    <border>
      <left style="hair">
        <color rgb="FF000000"/>
      </left>
      <right style="hair">
        <color rgb="FF000000"/>
      </right>
      <top/>
      <bottom style="hair">
        <color rgb="FF000000"/>
      </bottom>
      <diagonal/>
    </border>
    <border>
      <left/>
      <right style="medium">
        <color rgb="FFFF0000"/>
      </right>
      <top/>
      <bottom style="medium">
        <color rgb="FFFF0000"/>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thin">
        <color indexed="64"/>
      </left>
      <right style="medium">
        <color rgb="FFFF0000"/>
      </right>
      <top style="medium">
        <color indexed="64"/>
      </top>
      <bottom style="thin">
        <color indexed="64"/>
      </bottom>
      <diagonal/>
    </border>
    <border>
      <left style="medium">
        <color indexed="64"/>
      </left>
      <right style="thin">
        <color indexed="64"/>
      </right>
      <top style="thin">
        <color indexed="64"/>
      </top>
      <bottom style="medium">
        <color rgb="FFFF0000"/>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medium">
        <color indexed="64"/>
      </left>
      <right/>
      <top/>
      <bottom style="double">
        <color indexed="64"/>
      </bottom>
      <diagonal/>
    </border>
    <border>
      <left/>
      <right style="medium">
        <color indexed="64"/>
      </right>
      <top/>
      <bottom style="double">
        <color indexed="64"/>
      </bottom>
      <diagonal/>
    </border>
    <border>
      <left style="thick">
        <color rgb="FFC00000"/>
      </left>
      <right style="thick">
        <color rgb="FFC00000"/>
      </right>
      <top style="thick">
        <color rgb="FFC00000"/>
      </top>
      <bottom style="medium">
        <color indexed="64"/>
      </bottom>
      <diagonal/>
    </border>
    <border>
      <left style="thick">
        <color rgb="FFC00000"/>
      </left>
      <right style="thick">
        <color rgb="FFC00000"/>
      </right>
      <top/>
      <bottom style="thick">
        <color rgb="FFC00000"/>
      </bottom>
      <diagonal/>
    </border>
    <border>
      <left style="thick">
        <color rgb="FFFF0000"/>
      </left>
      <right/>
      <top style="thick">
        <color rgb="FFFF0000"/>
      </top>
      <bottom style="thick">
        <color rgb="FFFF0000"/>
      </bottom>
      <diagonal/>
    </border>
    <border>
      <left/>
      <right style="thick">
        <color rgb="FFFF0000"/>
      </right>
      <top style="thick">
        <color rgb="FFFF0000"/>
      </top>
      <bottom style="thick">
        <color rgb="FFFF0000"/>
      </bottom>
      <diagonal/>
    </border>
    <border>
      <left/>
      <right style="medium">
        <color rgb="FFFF0000"/>
      </right>
      <top style="medium">
        <color rgb="FFFF0000"/>
      </top>
      <bottom/>
      <diagonal/>
    </border>
    <border>
      <left style="thin">
        <color indexed="64"/>
      </left>
      <right style="thin">
        <color indexed="64"/>
      </right>
      <top style="double">
        <color indexed="64"/>
      </top>
      <bottom/>
      <diagonal/>
    </border>
  </borders>
  <cellStyleXfs count="9">
    <xf numFmtId="0" fontId="0" fillId="0" borderId="0"/>
    <xf numFmtId="43" fontId="5" fillId="0" borderId="0" applyFont="0" applyFill="0" applyBorder="0" applyAlignment="0" applyProtection="0"/>
    <xf numFmtId="9" fontId="5" fillId="0" borderId="0" applyFont="0" applyFill="0" applyBorder="0" applyAlignment="0" applyProtection="0"/>
    <xf numFmtId="164" fontId="5" fillId="0" borderId="0" applyFont="0" applyFill="0" applyBorder="0" applyAlignment="0" applyProtection="0"/>
    <xf numFmtId="0" fontId="36" fillId="29" borderId="0" applyNumberFormat="0" applyBorder="0" applyAlignment="0" applyProtection="0"/>
    <xf numFmtId="0" fontId="37" fillId="30" borderId="0" applyNumberFormat="0" applyBorder="0" applyAlignment="0" applyProtection="0"/>
    <xf numFmtId="0" fontId="37" fillId="31" borderId="0" applyNumberFormat="0" applyBorder="0" applyAlignment="0" applyProtection="0"/>
    <xf numFmtId="0" fontId="37" fillId="32" borderId="0" applyNumberFormat="0" applyBorder="0" applyAlignment="0" applyProtection="0"/>
    <xf numFmtId="0" fontId="5" fillId="37" borderId="0" applyNumberFormat="0" applyBorder="0" applyAlignment="0" applyProtection="0"/>
  </cellStyleXfs>
  <cellXfs count="545">
    <xf numFmtId="0" fontId="0" fillId="0" borderId="0" xfId="0"/>
    <xf numFmtId="0" fontId="0" fillId="0" borderId="0" xfId="0" applyProtection="1">
      <protection hidden="1"/>
    </xf>
    <xf numFmtId="0" fontId="0" fillId="0" borderId="0" xfId="0" applyAlignment="1" applyProtection="1">
      <alignment vertical="center"/>
      <protection hidden="1"/>
    </xf>
    <xf numFmtId="0" fontId="17" fillId="0" borderId="0" xfId="0" applyFont="1" applyAlignment="1" applyProtection="1">
      <alignment horizontal="center" vertical="center"/>
      <protection hidden="1"/>
    </xf>
    <xf numFmtId="0" fontId="16" fillId="0" borderId="0" xfId="0" applyFont="1" applyAlignment="1" applyProtection="1">
      <alignment vertical="center"/>
      <protection hidden="1"/>
    </xf>
    <xf numFmtId="0" fontId="10" fillId="0" borderId="0" xfId="0" applyFont="1" applyAlignment="1" applyProtection="1">
      <alignment vertical="center"/>
      <protection hidden="1"/>
    </xf>
    <xf numFmtId="0" fontId="11" fillId="0" borderId="0" xfId="0" applyFont="1" applyAlignment="1" applyProtection="1">
      <alignment vertical="center"/>
      <protection hidden="1"/>
    </xf>
    <xf numFmtId="0" fontId="10" fillId="0" borderId="0" xfId="0" applyFont="1" applyAlignment="1" applyProtection="1">
      <alignment horizontal="right" vertical="center"/>
      <protection hidden="1"/>
    </xf>
    <xf numFmtId="14" fontId="0" fillId="0" borderId="0" xfId="0" applyNumberFormat="1" applyProtection="1">
      <protection hidden="1"/>
    </xf>
    <xf numFmtId="0" fontId="12" fillId="0" borderId="0" xfId="0" applyFont="1" applyAlignment="1" applyProtection="1">
      <alignment vertical="center"/>
      <protection hidden="1"/>
    </xf>
    <xf numFmtId="0" fontId="12" fillId="0" borderId="7" xfId="0" applyFont="1" applyBorder="1" applyAlignment="1" applyProtection="1">
      <alignment horizontal="center" vertical="center"/>
      <protection hidden="1"/>
    </xf>
    <xf numFmtId="0" fontId="13" fillId="0" borderId="0" xfId="0" applyFont="1" applyAlignment="1" applyProtection="1">
      <alignment vertical="center"/>
      <protection hidden="1"/>
    </xf>
    <xf numFmtId="0" fontId="12" fillId="0" borderId="7" xfId="0" applyFont="1" applyBorder="1" applyAlignment="1" applyProtection="1">
      <alignment vertical="center"/>
      <protection hidden="1"/>
    </xf>
    <xf numFmtId="0" fontId="0" fillId="0" borderId="0" xfId="0" applyProtection="1">
      <protection locked="0"/>
    </xf>
    <xf numFmtId="0" fontId="2" fillId="12" borderId="7" xfId="0" applyFont="1" applyFill="1" applyBorder="1" applyAlignment="1" applyProtection="1">
      <alignment horizontal="center"/>
      <protection locked="0"/>
    </xf>
    <xf numFmtId="0" fontId="0" fillId="12" borderId="10" xfId="0" applyFill="1" applyBorder="1" applyProtection="1">
      <protection locked="0"/>
    </xf>
    <xf numFmtId="0" fontId="0" fillId="12" borderId="11" xfId="0" applyFill="1" applyBorder="1" applyProtection="1">
      <protection locked="0"/>
    </xf>
    <xf numFmtId="0" fontId="0" fillId="12" borderId="13" xfId="0" applyFill="1" applyBorder="1" applyProtection="1">
      <protection locked="0"/>
    </xf>
    <xf numFmtId="0" fontId="0" fillId="12" borderId="14" xfId="0" applyFill="1" applyBorder="1" applyProtection="1">
      <protection locked="0"/>
    </xf>
    <xf numFmtId="0" fontId="0" fillId="12" borderId="23" xfId="0" applyFill="1" applyBorder="1" applyProtection="1">
      <protection locked="0"/>
    </xf>
    <xf numFmtId="0" fontId="0" fillId="12" borderId="15" xfId="0" applyFill="1" applyBorder="1" applyProtection="1">
      <protection locked="0"/>
    </xf>
    <xf numFmtId="0" fontId="0" fillId="12" borderId="35" xfId="0" applyFill="1" applyBorder="1" applyProtection="1">
      <protection locked="0"/>
    </xf>
    <xf numFmtId="0" fontId="10" fillId="0" borderId="0" xfId="0" applyFont="1" applyAlignment="1" applyProtection="1">
      <alignment horizontal="left" vertical="center"/>
      <protection hidden="1"/>
    </xf>
    <xf numFmtId="0" fontId="0" fillId="0" borderId="4" xfId="0" applyBorder="1" applyProtection="1">
      <protection hidden="1"/>
    </xf>
    <xf numFmtId="0" fontId="10" fillId="0" borderId="8" xfId="0" applyFont="1" applyBorder="1" applyProtection="1">
      <protection hidden="1"/>
    </xf>
    <xf numFmtId="0" fontId="0" fillId="0" borderId="3" xfId="0" applyBorder="1" applyProtection="1">
      <protection hidden="1"/>
    </xf>
    <xf numFmtId="0" fontId="0" fillId="5" borderId="2" xfId="0" applyFill="1" applyBorder="1" applyProtection="1">
      <protection locked="0"/>
    </xf>
    <xf numFmtId="0" fontId="0" fillId="5" borderId="0" xfId="0" applyFill="1" applyProtection="1">
      <protection locked="0"/>
    </xf>
    <xf numFmtId="0" fontId="0" fillId="5" borderId="0" xfId="0" applyFill="1"/>
    <xf numFmtId="0" fontId="0" fillId="5" borderId="48" xfId="0" applyFill="1" applyBorder="1" applyProtection="1">
      <protection locked="0"/>
    </xf>
    <xf numFmtId="0" fontId="0" fillId="5" borderId="49" xfId="0" applyFill="1" applyBorder="1" applyProtection="1">
      <protection locked="0"/>
    </xf>
    <xf numFmtId="0" fontId="0" fillId="5" borderId="42" xfId="0" applyFill="1" applyBorder="1" applyProtection="1">
      <protection locked="0"/>
    </xf>
    <xf numFmtId="0" fontId="0" fillId="5" borderId="38" xfId="0" applyFill="1" applyBorder="1" applyProtection="1">
      <protection locked="0"/>
    </xf>
    <xf numFmtId="0" fontId="12" fillId="0" borderId="52" xfId="0" applyFont="1" applyBorder="1" applyAlignment="1" applyProtection="1">
      <alignment vertical="center"/>
      <protection hidden="1"/>
    </xf>
    <xf numFmtId="0" fontId="12" fillId="0" borderId="39" xfId="0" applyFont="1" applyBorder="1" applyAlignment="1" applyProtection="1">
      <alignment vertical="center"/>
      <protection hidden="1"/>
    </xf>
    <xf numFmtId="0" fontId="0" fillId="0" borderId="0" xfId="0" applyAlignment="1">
      <alignment horizontal="left"/>
    </xf>
    <xf numFmtId="0" fontId="0" fillId="0" borderId="19" xfId="0" applyBorder="1" applyProtection="1">
      <protection hidden="1"/>
    </xf>
    <xf numFmtId="0" fontId="0" fillId="0" borderId="17" xfId="0" applyBorder="1" applyProtection="1">
      <protection hidden="1"/>
    </xf>
    <xf numFmtId="0" fontId="0" fillId="0" borderId="2" xfId="0" applyBorder="1" applyProtection="1">
      <protection hidden="1"/>
    </xf>
    <xf numFmtId="0" fontId="0" fillId="0" borderId="5" xfId="0" applyBorder="1" applyProtection="1">
      <protection hidden="1"/>
    </xf>
    <xf numFmtId="0" fontId="22" fillId="0" borderId="7" xfId="0" applyFont="1" applyBorder="1" applyAlignment="1" applyProtection="1">
      <alignment vertical="center"/>
      <protection hidden="1"/>
    </xf>
    <xf numFmtId="0" fontId="22" fillId="0" borderId="9" xfId="0" applyFont="1" applyBorder="1" applyAlignment="1" applyProtection="1">
      <alignment vertical="center"/>
      <protection hidden="1"/>
    </xf>
    <xf numFmtId="0" fontId="22" fillId="0" borderId="22" xfId="0" applyFont="1" applyBorder="1" applyAlignment="1" applyProtection="1">
      <alignment vertical="center"/>
      <protection hidden="1"/>
    </xf>
    <xf numFmtId="0" fontId="22" fillId="0" borderId="5" xfId="0" applyFont="1" applyBorder="1" applyAlignment="1" applyProtection="1">
      <alignment vertical="center"/>
      <protection hidden="1"/>
    </xf>
    <xf numFmtId="0" fontId="0" fillId="5" borderId="2" xfId="0" applyFill="1" applyBorder="1"/>
    <xf numFmtId="2" fontId="0" fillId="5" borderId="7" xfId="0" applyNumberFormat="1" applyFill="1" applyBorder="1" applyAlignment="1" applyProtection="1">
      <alignment horizontal="center" vertical="center"/>
      <protection locked="0"/>
    </xf>
    <xf numFmtId="0" fontId="0" fillId="0" borderId="24" xfId="0"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9" fontId="0" fillId="5" borderId="21" xfId="2" applyFont="1" applyFill="1" applyBorder="1" applyAlignment="1" applyProtection="1">
      <alignment horizontal="center" vertical="center"/>
      <protection locked="0"/>
    </xf>
    <xf numFmtId="9" fontId="0" fillId="5" borderId="7" xfId="2" applyFont="1" applyFill="1" applyBorder="1" applyAlignment="1" applyProtection="1">
      <alignment horizontal="center" vertical="center"/>
      <protection locked="0"/>
    </xf>
    <xf numFmtId="0" fontId="9" fillId="5" borderId="43" xfId="0" applyFont="1" applyFill="1" applyBorder="1" applyAlignment="1" applyProtection="1">
      <alignment horizontal="center" vertical="center"/>
      <protection locked="0"/>
    </xf>
    <xf numFmtId="0" fontId="0" fillId="5" borderId="43" xfId="0" applyFill="1" applyBorder="1" applyAlignment="1" applyProtection="1">
      <alignment horizontal="center" vertical="center"/>
      <protection locked="0"/>
    </xf>
    <xf numFmtId="0" fontId="0" fillId="5" borderId="0" xfId="0" applyFill="1" applyAlignment="1">
      <alignment horizontal="left"/>
    </xf>
    <xf numFmtId="0" fontId="0" fillId="5" borderId="7" xfId="0" applyFill="1" applyBorder="1" applyAlignment="1" applyProtection="1">
      <alignment horizontal="center" vertical="center"/>
      <protection locked="0"/>
    </xf>
    <xf numFmtId="0" fontId="23" fillId="0" borderId="4" xfId="0" applyFont="1" applyBorder="1" applyAlignment="1" applyProtection="1">
      <alignment vertical="center"/>
      <protection hidden="1"/>
    </xf>
    <xf numFmtId="0" fontId="25" fillId="0" borderId="20" xfId="0" applyFont="1" applyBorder="1" applyAlignment="1" applyProtection="1">
      <alignment vertical="center"/>
      <protection hidden="1"/>
    </xf>
    <xf numFmtId="0" fontId="25" fillId="0" borderId="21" xfId="0" applyFont="1" applyBorder="1" applyAlignment="1" applyProtection="1">
      <alignment vertical="center"/>
      <protection hidden="1"/>
    </xf>
    <xf numFmtId="0" fontId="25" fillId="0" borderId="22" xfId="0" applyFont="1" applyBorder="1" applyAlignment="1" applyProtection="1">
      <alignment vertical="center"/>
      <protection hidden="1"/>
    </xf>
    <xf numFmtId="0" fontId="21" fillId="0" borderId="56" xfId="0" applyFont="1" applyBorder="1" applyAlignment="1">
      <alignment horizontal="center" vertical="center" wrapText="1"/>
    </xf>
    <xf numFmtId="0" fontId="0" fillId="0" borderId="0" xfId="0" applyAlignment="1">
      <alignment horizontal="center" vertical="center"/>
    </xf>
    <xf numFmtId="0" fontId="0" fillId="0" borderId="3" xfId="0" applyBorder="1" applyAlignment="1">
      <alignment horizontal="center" vertical="center"/>
    </xf>
    <xf numFmtId="0" fontId="20" fillId="0" borderId="19" xfId="0" applyFont="1" applyBorder="1" applyAlignment="1">
      <alignment horizontal="center" vertical="center" wrapText="1"/>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0" fillId="0" borderId="57" xfId="0" applyFont="1" applyBorder="1" applyAlignment="1">
      <alignment horizontal="center" vertical="center" wrapText="1"/>
    </xf>
    <xf numFmtId="0" fontId="21" fillId="0" borderId="56" xfId="0" applyFont="1" applyBorder="1" applyAlignment="1">
      <alignment horizontal="center" vertical="center"/>
    </xf>
    <xf numFmtId="0" fontId="0" fillId="9" borderId="58" xfId="0" applyFill="1" applyBorder="1"/>
    <xf numFmtId="0" fontId="27" fillId="23" borderId="8" xfId="0" applyFont="1" applyFill="1" applyBorder="1" applyAlignment="1">
      <alignment horizontal="center" vertical="center" wrapText="1"/>
    </xf>
    <xf numFmtId="0" fontId="27" fillId="23" borderId="7" xfId="0" applyFont="1" applyFill="1" applyBorder="1" applyAlignment="1">
      <alignment horizontal="center" vertical="center" wrapText="1"/>
    </xf>
    <xf numFmtId="0" fontId="27" fillId="24" borderId="8" xfId="0" applyFont="1" applyFill="1" applyBorder="1" applyAlignment="1">
      <alignment horizontal="center" vertical="center" wrapText="1"/>
    </xf>
    <xf numFmtId="0" fontId="27" fillId="24" borderId="7" xfId="0" applyFont="1" applyFill="1" applyBorder="1" applyAlignment="1">
      <alignment horizontal="center" vertical="center" wrapText="1"/>
    </xf>
    <xf numFmtId="0" fontId="27" fillId="26" borderId="4" xfId="0" applyFont="1" applyFill="1" applyBorder="1" applyAlignment="1">
      <alignment horizontal="center" vertical="center" wrapText="1"/>
    </xf>
    <xf numFmtId="0" fontId="27" fillId="26" borderId="22" xfId="0" applyFont="1" applyFill="1" applyBorder="1" applyAlignment="1">
      <alignment horizontal="center" vertical="center" wrapText="1"/>
    </xf>
    <xf numFmtId="0" fontId="27" fillId="25" borderId="8" xfId="0" applyFont="1" applyFill="1" applyBorder="1" applyAlignment="1">
      <alignment horizontal="center" vertical="center" wrapText="1"/>
    </xf>
    <xf numFmtId="0" fontId="27" fillId="25" borderId="7" xfId="0" applyFont="1" applyFill="1" applyBorder="1" applyAlignment="1">
      <alignment horizontal="center" vertical="center" wrapText="1"/>
    </xf>
    <xf numFmtId="0" fontId="28" fillId="0" borderId="7" xfId="0" applyFont="1" applyBorder="1" applyAlignment="1">
      <alignment horizontal="center" vertical="center" wrapText="1"/>
    </xf>
    <xf numFmtId="0" fontId="29" fillId="0" borderId="20" xfId="0" applyFont="1" applyBorder="1" applyAlignment="1">
      <alignment horizontal="center" vertical="center" wrapText="1"/>
    </xf>
    <xf numFmtId="0" fontId="0" fillId="0" borderId="0" xfId="0" applyAlignment="1">
      <alignment horizontal="center" vertical="center" wrapText="1"/>
    </xf>
    <xf numFmtId="0" fontId="1" fillId="2" borderId="1"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0" fillId="0" borderId="6" xfId="0" applyBorder="1" applyAlignment="1">
      <alignment horizontal="center" vertical="center" wrapText="1"/>
    </xf>
    <xf numFmtId="0" fontId="0" fillId="0" borderId="1" xfId="0" applyBorder="1" applyAlignment="1">
      <alignment horizontal="center" vertical="center" wrapText="1"/>
    </xf>
    <xf numFmtId="0" fontId="1" fillId="2" borderId="49" xfId="0" applyFont="1" applyFill="1" applyBorder="1" applyAlignment="1">
      <alignment horizontal="center" vertical="center" wrapText="1"/>
    </xf>
    <xf numFmtId="0" fontId="1" fillId="2" borderId="42" xfId="0" applyFont="1" applyFill="1" applyBorder="1" applyAlignment="1">
      <alignment horizontal="center" vertical="center" wrapText="1"/>
    </xf>
    <xf numFmtId="0" fontId="1" fillId="2" borderId="51"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65" xfId="0" applyFont="1" applyFill="1" applyBorder="1" applyAlignment="1">
      <alignment horizontal="center" vertical="center" wrapText="1"/>
    </xf>
    <xf numFmtId="0" fontId="1" fillId="2" borderId="63" xfId="0" applyFont="1" applyFill="1" applyBorder="1" applyAlignment="1">
      <alignment horizontal="center" vertical="center" wrapText="1"/>
    </xf>
    <xf numFmtId="0" fontId="0" fillId="0" borderId="46" xfId="0" applyBorder="1" applyAlignment="1">
      <alignment horizontal="center" vertical="center" wrapText="1"/>
    </xf>
    <xf numFmtId="0" fontId="0" fillId="0" borderId="49" xfId="0" applyBorder="1" applyAlignment="1">
      <alignment horizontal="center" vertical="center" wrapText="1"/>
    </xf>
    <xf numFmtId="0" fontId="0" fillId="0" borderId="41" xfId="0" applyBorder="1" applyAlignment="1">
      <alignment horizontal="center" vertical="center" wrapText="1"/>
    </xf>
    <xf numFmtId="0" fontId="0" fillId="0" borderId="42" xfId="0" applyBorder="1" applyAlignment="1">
      <alignment horizontal="center" vertical="center" wrapText="1"/>
    </xf>
    <xf numFmtId="0" fontId="0" fillId="5" borderId="41" xfId="0" applyFill="1" applyBorder="1" applyAlignment="1">
      <alignment horizontal="center" vertical="center" wrapText="1"/>
    </xf>
    <xf numFmtId="0" fontId="0" fillId="5" borderId="63" xfId="0" applyFill="1" applyBorder="1" applyAlignment="1">
      <alignment horizontal="center" vertical="center" wrapText="1"/>
    </xf>
    <xf numFmtId="0" fontId="0" fillId="5" borderId="1" xfId="0" applyFill="1" applyBorder="1" applyAlignment="1">
      <alignment horizontal="center" vertical="center" wrapText="1"/>
    </xf>
    <xf numFmtId="0" fontId="0" fillId="5" borderId="42" xfId="0" applyFill="1" applyBorder="1" applyAlignment="1">
      <alignment horizontal="center" vertical="center" wrapText="1"/>
    </xf>
    <xf numFmtId="0" fontId="4" fillId="7" borderId="13" xfId="0" applyFont="1" applyFill="1" applyBorder="1" applyAlignment="1">
      <alignment horizontal="center" vertical="center" wrapText="1"/>
    </xf>
    <xf numFmtId="0" fontId="0" fillId="5" borderId="46" xfId="0" applyFill="1" applyBorder="1" applyAlignment="1">
      <alignment horizontal="center" vertical="center" wrapText="1"/>
    </xf>
    <xf numFmtId="0" fontId="0" fillId="5" borderId="6" xfId="0" applyFill="1" applyBorder="1" applyAlignment="1">
      <alignment horizontal="center" vertical="center" wrapText="1"/>
    </xf>
    <xf numFmtId="0" fontId="0" fillId="5" borderId="49" xfId="0" applyFill="1" applyBorder="1" applyAlignment="1">
      <alignment horizontal="center" vertical="center" wrapText="1"/>
    </xf>
    <xf numFmtId="0" fontId="1" fillId="2" borderId="67" xfId="0" applyFont="1" applyFill="1" applyBorder="1" applyAlignment="1">
      <alignment horizontal="center" vertical="center" wrapText="1"/>
    </xf>
    <xf numFmtId="0" fontId="0" fillId="5" borderId="29" xfId="0" applyFill="1" applyBorder="1" applyAlignment="1">
      <alignment horizontal="center" vertical="center" wrapText="1"/>
    </xf>
    <xf numFmtId="0" fontId="0" fillId="5" borderId="52" xfId="0" applyFill="1" applyBorder="1" applyAlignment="1">
      <alignment horizontal="center" vertical="center" wrapText="1"/>
    </xf>
    <xf numFmtId="0" fontId="0" fillId="5" borderId="65" xfId="0" applyFill="1" applyBorder="1" applyAlignment="1">
      <alignment horizontal="center" vertical="center" wrapText="1"/>
    </xf>
    <xf numFmtId="0" fontId="0" fillId="0" borderId="54" xfId="0" applyBorder="1" applyAlignment="1">
      <alignment horizontal="center" vertical="center" wrapText="1"/>
    </xf>
    <xf numFmtId="0" fontId="0" fillId="0" borderId="53" xfId="0" applyBorder="1" applyAlignment="1">
      <alignment horizontal="center" vertical="center" wrapText="1"/>
    </xf>
    <xf numFmtId="0" fontId="1" fillId="2" borderId="68" xfId="0" applyFont="1" applyFill="1" applyBorder="1" applyAlignment="1">
      <alignment horizontal="center" vertical="center" wrapText="1"/>
    </xf>
    <xf numFmtId="0" fontId="1" fillId="2" borderId="69" xfId="0" applyFont="1" applyFill="1" applyBorder="1" applyAlignment="1">
      <alignment horizontal="center" vertical="center" wrapText="1"/>
    </xf>
    <xf numFmtId="0" fontId="1" fillId="2" borderId="70" xfId="0" applyFont="1" applyFill="1" applyBorder="1" applyAlignment="1">
      <alignment horizontal="center" vertical="center" wrapText="1"/>
    </xf>
    <xf numFmtId="0" fontId="1" fillId="2" borderId="71" xfId="0" applyFont="1" applyFill="1" applyBorder="1" applyAlignment="1">
      <alignment horizontal="center" vertical="center" wrapText="1"/>
    </xf>
    <xf numFmtId="0" fontId="1" fillId="2" borderId="34" xfId="0" applyFont="1" applyFill="1" applyBorder="1" applyAlignment="1">
      <alignment horizontal="center" vertical="center" wrapText="1"/>
    </xf>
    <xf numFmtId="0" fontId="1" fillId="2" borderId="72" xfId="0" applyFont="1" applyFill="1" applyBorder="1" applyAlignment="1">
      <alignment horizontal="center" vertical="center" wrapText="1"/>
    </xf>
    <xf numFmtId="0" fontId="0" fillId="5" borderId="73" xfId="0" applyFill="1" applyBorder="1" applyAlignment="1">
      <alignment horizontal="center" vertical="center" wrapText="1"/>
    </xf>
    <xf numFmtId="0" fontId="1" fillId="2" borderId="74" xfId="0" applyFont="1" applyFill="1" applyBorder="1" applyAlignment="1">
      <alignment horizontal="center" vertical="center" wrapText="1"/>
    </xf>
    <xf numFmtId="0" fontId="0" fillId="5" borderId="74" xfId="0" applyFill="1" applyBorder="1" applyAlignment="1">
      <alignment horizontal="center" vertical="center" wrapText="1"/>
    </xf>
    <xf numFmtId="0" fontId="0" fillId="5" borderId="75" xfId="0" applyFill="1" applyBorder="1" applyAlignment="1">
      <alignment horizontal="center" vertical="center" wrapText="1"/>
    </xf>
    <xf numFmtId="0" fontId="0" fillId="5" borderId="45" xfId="0" applyFill="1" applyBorder="1" applyAlignment="1">
      <alignment horizontal="center" vertical="center" wrapText="1"/>
    </xf>
    <xf numFmtId="0" fontId="1" fillId="2" borderId="12" xfId="0" applyFont="1" applyFill="1" applyBorder="1" applyAlignment="1">
      <alignment horizontal="center" vertical="center" wrapText="1"/>
    </xf>
    <xf numFmtId="0" fontId="1" fillId="2" borderId="73" xfId="0" applyFont="1" applyFill="1" applyBorder="1" applyAlignment="1">
      <alignment horizontal="center" vertical="center" wrapText="1"/>
    </xf>
    <xf numFmtId="0" fontId="1" fillId="2" borderId="75" xfId="0" applyFont="1" applyFill="1" applyBorder="1" applyAlignment="1">
      <alignment horizontal="center" vertical="center" wrapText="1"/>
    </xf>
    <xf numFmtId="0" fontId="0" fillId="0" borderId="45" xfId="0" applyBorder="1" applyAlignment="1">
      <alignment horizontal="center" vertical="center" wrapText="1"/>
    </xf>
    <xf numFmtId="0" fontId="0" fillId="0" borderId="74" xfId="0" applyBorder="1" applyAlignment="1">
      <alignment horizontal="center" vertical="center" wrapText="1"/>
    </xf>
    <xf numFmtId="0" fontId="0" fillId="0" borderId="75" xfId="0" applyBorder="1" applyAlignment="1">
      <alignment horizontal="center" vertical="center" wrapText="1"/>
    </xf>
    <xf numFmtId="0" fontId="0" fillId="0" borderId="76" xfId="0" applyBorder="1" applyAlignment="1">
      <alignment horizontal="center" vertical="center" wrapText="1"/>
    </xf>
    <xf numFmtId="0" fontId="0" fillId="0" borderId="63" xfId="0" applyBorder="1" applyAlignment="1">
      <alignment horizontal="center" vertical="center" wrapText="1"/>
    </xf>
    <xf numFmtId="0" fontId="0" fillId="0" borderId="73" xfId="0" applyBorder="1" applyAlignment="1">
      <alignment horizontal="center" vertical="center" wrapText="1"/>
    </xf>
    <xf numFmtId="0" fontId="0" fillId="5" borderId="0" xfId="0" applyFill="1" applyAlignment="1">
      <alignment horizontal="center"/>
    </xf>
    <xf numFmtId="0" fontId="22" fillId="0" borderId="18" xfId="0" applyFont="1" applyBorder="1" applyAlignment="1" applyProtection="1">
      <alignment vertical="center"/>
      <protection hidden="1"/>
    </xf>
    <xf numFmtId="0" fontId="12" fillId="0" borderId="0" xfId="0" applyFont="1" applyAlignment="1" applyProtection="1">
      <alignment horizontal="center" vertical="center"/>
      <protection hidden="1"/>
    </xf>
    <xf numFmtId="0" fontId="22" fillId="0" borderId="4" xfId="0" applyFont="1" applyBorder="1" applyProtection="1">
      <protection hidden="1"/>
    </xf>
    <xf numFmtId="0" fontId="30" fillId="0" borderId="5" xfId="0" applyFont="1" applyBorder="1" applyAlignment="1" applyProtection="1">
      <alignment horizontal="center" vertical="center"/>
      <protection hidden="1"/>
    </xf>
    <xf numFmtId="0" fontId="30" fillId="0" borderId="5" xfId="0" applyFont="1" applyBorder="1" applyAlignment="1" applyProtection="1">
      <alignment vertical="center"/>
      <protection hidden="1"/>
    </xf>
    <xf numFmtId="49" fontId="30" fillId="0" borderId="5" xfId="1" applyNumberFormat="1" applyFont="1" applyBorder="1" applyAlignment="1" applyProtection="1">
      <alignment horizontal="center" vertical="center"/>
      <protection hidden="1"/>
    </xf>
    <xf numFmtId="0" fontId="30" fillId="0" borderId="7" xfId="0" applyFont="1" applyBorder="1" applyAlignment="1" applyProtection="1">
      <alignment horizontal="center" vertical="center"/>
      <protection hidden="1"/>
    </xf>
    <xf numFmtId="0" fontId="31" fillId="0" borderId="9" xfId="0" applyFont="1" applyBorder="1" applyAlignment="1" applyProtection="1">
      <alignment horizontal="center" vertical="center" wrapText="1"/>
      <protection hidden="1"/>
    </xf>
    <xf numFmtId="0" fontId="12" fillId="5" borderId="13" xfId="0" applyFont="1" applyFill="1" applyBorder="1" applyAlignment="1" applyProtection="1">
      <alignment horizontal="center" vertical="center"/>
      <protection hidden="1"/>
    </xf>
    <xf numFmtId="0" fontId="12" fillId="5" borderId="14" xfId="0" applyFont="1" applyFill="1" applyBorder="1" applyAlignment="1" applyProtection="1">
      <alignment horizontal="center" vertical="center"/>
      <protection hidden="1"/>
    </xf>
    <xf numFmtId="0" fontId="12" fillId="5" borderId="23" xfId="0" applyFont="1" applyFill="1" applyBorder="1" applyAlignment="1" applyProtection="1">
      <alignment horizontal="center" vertical="center"/>
      <protection hidden="1"/>
    </xf>
    <xf numFmtId="0" fontId="0" fillId="0" borderId="0" xfId="0" applyProtection="1">
      <protection locked="0" hidden="1"/>
    </xf>
    <xf numFmtId="0" fontId="2" fillId="5" borderId="0" xfId="0" applyFont="1" applyFill="1" applyProtection="1">
      <protection locked="0"/>
    </xf>
    <xf numFmtId="0" fontId="0" fillId="11" borderId="25" xfId="0" applyFill="1" applyBorder="1" applyAlignment="1" applyProtection="1">
      <alignment horizontal="center"/>
      <protection locked="0"/>
    </xf>
    <xf numFmtId="0" fontId="0" fillId="11" borderId="23" xfId="0" applyFill="1" applyBorder="1" applyAlignment="1" applyProtection="1">
      <alignment horizontal="center"/>
      <protection locked="0"/>
    </xf>
    <xf numFmtId="0" fontId="0" fillId="3" borderId="25" xfId="0" applyFill="1" applyBorder="1" applyAlignment="1" applyProtection="1">
      <alignment horizontal="center"/>
      <protection locked="0"/>
    </xf>
    <xf numFmtId="0" fontId="0" fillId="17" borderId="23" xfId="0" applyFill="1" applyBorder="1" applyAlignment="1" applyProtection="1">
      <alignment horizontal="center"/>
      <protection locked="0"/>
    </xf>
    <xf numFmtId="1" fontId="0" fillId="11" borderId="25" xfId="0" applyNumberFormat="1" applyFill="1" applyBorder="1" applyAlignment="1" applyProtection="1">
      <alignment horizontal="center"/>
      <protection locked="0"/>
    </xf>
    <xf numFmtId="0" fontId="0" fillId="4" borderId="37" xfId="0" applyFill="1" applyBorder="1" applyAlignment="1" applyProtection="1">
      <alignment horizontal="center" vertical="center"/>
      <protection locked="0"/>
    </xf>
    <xf numFmtId="1" fontId="0" fillId="4" borderId="38" xfId="0" applyNumberFormat="1" applyFill="1" applyBorder="1" applyAlignment="1" applyProtection="1">
      <alignment horizontal="center" vertical="center"/>
      <protection locked="0"/>
    </xf>
    <xf numFmtId="0" fontId="0" fillId="18" borderId="28" xfId="0" applyFill="1" applyBorder="1" applyAlignment="1" applyProtection="1">
      <alignment horizontal="center"/>
      <protection locked="0"/>
    </xf>
    <xf numFmtId="0" fontId="0" fillId="3" borderId="37" xfId="0" applyFill="1" applyBorder="1" applyAlignment="1" applyProtection="1">
      <alignment horizontal="center" vertical="center"/>
      <protection locked="0"/>
    </xf>
    <xf numFmtId="1" fontId="0" fillId="3" borderId="38" xfId="0" applyNumberFormat="1" applyFill="1" applyBorder="1" applyAlignment="1" applyProtection="1">
      <alignment horizontal="center" vertical="center"/>
      <protection locked="0"/>
    </xf>
    <xf numFmtId="0" fontId="0" fillId="17" borderId="40" xfId="0" applyFill="1" applyBorder="1" applyAlignment="1" applyProtection="1">
      <alignment horizontal="center"/>
      <protection locked="0"/>
    </xf>
    <xf numFmtId="0" fontId="0" fillId="0" borderId="0" xfId="0" applyAlignment="1" applyProtection="1">
      <alignment horizontal="left" vertical="center" indent="1"/>
      <protection locked="0"/>
    </xf>
    <xf numFmtId="0" fontId="2" fillId="22" borderId="8" xfId="0" applyFont="1" applyFill="1" applyBorder="1" applyAlignment="1">
      <alignment horizontal="center" vertical="center"/>
    </xf>
    <xf numFmtId="0" fontId="2" fillId="12" borderId="8" xfId="0" applyFont="1" applyFill="1" applyBorder="1" applyAlignment="1">
      <alignment horizontal="center" vertical="center"/>
    </xf>
    <xf numFmtId="0" fontId="2" fillId="12" borderId="19" xfId="0" applyFont="1" applyFill="1" applyBorder="1" applyAlignment="1">
      <alignment horizontal="center" vertical="center"/>
    </xf>
    <xf numFmtId="0" fontId="2" fillId="8" borderId="24" xfId="0" applyFont="1" applyFill="1" applyBorder="1" applyAlignment="1">
      <alignment horizontal="center" vertical="center"/>
    </xf>
    <xf numFmtId="0" fontId="2" fillId="8" borderId="23" xfId="0" applyFont="1" applyFill="1" applyBorder="1" applyAlignment="1">
      <alignment horizontal="center" vertical="center"/>
    </xf>
    <xf numFmtId="2" fontId="0" fillId="11" borderId="20" xfId="0" applyNumberFormat="1" applyFill="1" applyBorder="1" applyAlignment="1">
      <alignment horizontal="center" vertical="center"/>
    </xf>
    <xf numFmtId="0" fontId="0" fillId="11" borderId="7" xfId="0" applyFill="1" applyBorder="1" applyAlignment="1">
      <alignment horizontal="center" vertical="center"/>
    </xf>
    <xf numFmtId="0" fontId="0" fillId="11" borderId="20" xfId="0" applyFill="1" applyBorder="1" applyAlignment="1">
      <alignment horizontal="center" vertical="center"/>
    </xf>
    <xf numFmtId="0" fontId="0" fillId="9" borderId="23" xfId="0" applyFill="1" applyBorder="1" applyAlignment="1">
      <alignment horizontal="center" vertical="center"/>
    </xf>
    <xf numFmtId="2" fontId="0" fillId="9" borderId="31" xfId="0" applyNumberFormat="1" applyFill="1" applyBorder="1" applyAlignment="1">
      <alignment horizontal="center" vertical="center"/>
    </xf>
    <xf numFmtId="2" fontId="0" fillId="9" borderId="28" xfId="0" applyNumberFormat="1" applyFill="1" applyBorder="1" applyAlignment="1">
      <alignment horizontal="center" vertical="center"/>
    </xf>
    <xf numFmtId="0" fontId="0" fillId="9" borderId="29" xfId="0" applyFill="1" applyBorder="1" applyAlignment="1">
      <alignment horizontal="center" vertical="center"/>
    </xf>
    <xf numFmtId="0" fontId="0" fillId="9" borderId="30" xfId="0" applyFill="1" applyBorder="1" applyAlignment="1">
      <alignment horizontal="center" vertical="center"/>
    </xf>
    <xf numFmtId="0" fontId="0" fillId="9" borderId="13" xfId="0" applyFill="1" applyBorder="1" applyAlignment="1">
      <alignment horizontal="center" vertical="center"/>
    </xf>
    <xf numFmtId="0" fontId="0" fillId="9" borderId="22" xfId="0" applyFill="1" applyBorder="1" applyAlignment="1">
      <alignment horizontal="center" vertical="center"/>
    </xf>
    <xf numFmtId="0" fontId="2" fillId="2" borderId="12" xfId="0" applyFont="1" applyFill="1" applyBorder="1" applyAlignment="1">
      <alignment horizontal="center" vertical="center" wrapText="1"/>
    </xf>
    <xf numFmtId="0" fontId="2" fillId="2" borderId="8"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2" fillId="10" borderId="8" xfId="0" applyFont="1" applyFill="1" applyBorder="1" applyAlignment="1">
      <alignment horizontal="center" vertical="center" wrapText="1"/>
    </xf>
    <xf numFmtId="0" fontId="2" fillId="10" borderId="4"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20" xfId="0" applyFill="1" applyBorder="1" applyAlignment="1">
      <alignment horizontal="center" vertical="center"/>
    </xf>
    <xf numFmtId="0" fontId="0" fillId="3" borderId="22" xfId="0" applyFill="1" applyBorder="1" applyAlignment="1">
      <alignment horizontal="center" vertical="center"/>
    </xf>
    <xf numFmtId="0" fontId="0" fillId="4" borderId="9" xfId="0" applyFill="1" applyBorder="1" applyAlignment="1">
      <alignment horizontal="center" vertical="center"/>
    </xf>
    <xf numFmtId="0" fontId="0" fillId="4" borderId="5" xfId="0" applyFill="1" applyBorder="1" applyAlignment="1">
      <alignment horizontal="center" vertical="center"/>
    </xf>
    <xf numFmtId="2" fontId="0" fillId="4" borderId="7" xfId="1" applyNumberFormat="1" applyFont="1" applyFill="1" applyBorder="1" applyAlignment="1" applyProtection="1">
      <alignment horizontal="center" vertical="center"/>
    </xf>
    <xf numFmtId="2" fontId="0" fillId="4" borderId="7" xfId="0" applyNumberFormat="1" applyFill="1" applyBorder="1" applyAlignment="1">
      <alignment horizontal="center" vertical="center"/>
    </xf>
    <xf numFmtId="0" fontId="2" fillId="14" borderId="8" xfId="0" applyFont="1" applyFill="1" applyBorder="1" applyAlignment="1">
      <alignment horizontal="center" vertical="center" wrapText="1"/>
    </xf>
    <xf numFmtId="0" fontId="2" fillId="14" borderId="8" xfId="0" applyFont="1" applyFill="1" applyBorder="1" applyAlignment="1">
      <alignment horizontal="center" vertical="center"/>
    </xf>
    <xf numFmtId="0" fontId="0" fillId="15" borderId="7" xfId="0" applyFill="1" applyBorder="1" applyAlignment="1">
      <alignment horizontal="center" vertical="center"/>
    </xf>
    <xf numFmtId="2" fontId="0" fillId="15" borderId="7" xfId="0" applyNumberFormat="1" applyFill="1" applyBorder="1" applyAlignment="1">
      <alignment horizontal="center" vertical="center"/>
    </xf>
    <xf numFmtId="165" fontId="0" fillId="15" borderId="7" xfId="2" applyNumberFormat="1" applyFont="1" applyFill="1" applyBorder="1" applyAlignment="1" applyProtection="1">
      <alignment horizontal="center" vertical="center"/>
    </xf>
    <xf numFmtId="0" fontId="0" fillId="15" borderId="9" xfId="0" applyFill="1" applyBorder="1" applyAlignment="1">
      <alignment horizontal="center" vertical="center"/>
    </xf>
    <xf numFmtId="0" fontId="2" fillId="20" borderId="20" xfId="0" applyFont="1" applyFill="1" applyBorder="1" applyAlignment="1">
      <alignment horizontal="center" vertical="center"/>
    </xf>
    <xf numFmtId="0" fontId="2" fillId="20" borderId="7" xfId="0" applyFont="1" applyFill="1" applyBorder="1" applyAlignment="1">
      <alignment horizontal="center" vertical="center"/>
    </xf>
    <xf numFmtId="0" fontId="0" fillId="3" borderId="13" xfId="0" applyFill="1" applyBorder="1" applyAlignment="1">
      <alignment horizontal="center" vertical="center"/>
    </xf>
    <xf numFmtId="0" fontId="2" fillId="20" borderId="4" xfId="0" applyFont="1" applyFill="1" applyBorder="1" applyAlignment="1">
      <alignment horizontal="center" vertical="center"/>
    </xf>
    <xf numFmtId="0" fontId="0" fillId="3" borderId="23" xfId="0" applyFill="1" applyBorder="1" applyAlignment="1">
      <alignment horizontal="center" vertical="center"/>
    </xf>
    <xf numFmtId="0" fontId="2" fillId="12" borderId="10" xfId="0" applyFont="1" applyFill="1" applyBorder="1" applyAlignment="1">
      <alignment horizontal="center"/>
    </xf>
    <xf numFmtId="0" fontId="2" fillId="12" borderId="13" xfId="0" applyFont="1" applyFill="1" applyBorder="1" applyAlignment="1">
      <alignment horizontal="center"/>
    </xf>
    <xf numFmtId="0" fontId="2" fillId="2" borderId="10" xfId="0" applyFont="1" applyFill="1" applyBorder="1" applyAlignment="1">
      <alignment horizontal="center"/>
    </xf>
    <xf numFmtId="0" fontId="2" fillId="16" borderId="13" xfId="0" applyFont="1" applyFill="1" applyBorder="1" applyAlignment="1">
      <alignment horizontal="center"/>
    </xf>
    <xf numFmtId="0" fontId="2" fillId="13" borderId="8" xfId="0" applyFont="1" applyFill="1" applyBorder="1" applyAlignment="1">
      <alignment vertical="center"/>
    </xf>
    <xf numFmtId="0" fontId="2" fillId="13" borderId="7" xfId="0" applyFont="1" applyFill="1" applyBorder="1" applyAlignment="1">
      <alignment vertical="center"/>
    </xf>
    <xf numFmtId="0" fontId="2" fillId="10" borderId="41" xfId="0" applyFont="1" applyFill="1" applyBorder="1" applyAlignment="1">
      <alignment horizontal="center" vertical="center"/>
    </xf>
    <xf numFmtId="0" fontId="2" fillId="10" borderId="1" xfId="0" applyFont="1" applyFill="1" applyBorder="1" applyAlignment="1">
      <alignment horizontal="center" vertical="center"/>
    </xf>
    <xf numFmtId="0" fontId="2" fillId="10" borderId="42" xfId="0" applyFont="1" applyFill="1" applyBorder="1" applyAlignment="1">
      <alignment horizontal="center" vertical="center"/>
    </xf>
    <xf numFmtId="0" fontId="2" fillId="12" borderId="27" xfId="0" applyFont="1" applyFill="1" applyBorder="1" applyAlignment="1">
      <alignment horizontal="center"/>
    </xf>
    <xf numFmtId="0" fontId="2" fillId="2" borderId="41" xfId="0" applyFont="1" applyFill="1" applyBorder="1" applyAlignment="1">
      <alignment horizontal="center" vertical="center"/>
    </xf>
    <xf numFmtId="0" fontId="2" fillId="2" borderId="1" xfId="0" applyFont="1" applyFill="1" applyBorder="1" applyAlignment="1">
      <alignment vertical="center"/>
    </xf>
    <xf numFmtId="0" fontId="2" fillId="2" borderId="42" xfId="0" applyFont="1" applyFill="1" applyBorder="1" applyAlignment="1">
      <alignment vertical="center"/>
    </xf>
    <xf numFmtId="0" fontId="2" fillId="16" borderId="39" xfId="0" applyFont="1" applyFill="1" applyBorder="1" applyAlignment="1">
      <alignment horizontal="center"/>
    </xf>
    <xf numFmtId="0" fontId="33" fillId="0" borderId="0" xfId="0" applyFont="1" applyAlignment="1" applyProtection="1">
      <alignment horizontal="right" vertical="center"/>
      <protection locked="0" hidden="1"/>
    </xf>
    <xf numFmtId="0" fontId="35" fillId="0" borderId="0" xfId="0" applyFont="1" applyAlignment="1" applyProtection="1">
      <alignment horizontal="right" vertical="center"/>
      <protection locked="0" hidden="1"/>
    </xf>
    <xf numFmtId="0" fontId="35" fillId="0" borderId="2" xfId="0" applyFont="1" applyBorder="1" applyAlignment="1" applyProtection="1">
      <alignment horizontal="right" vertical="center"/>
      <protection locked="0" hidden="1"/>
    </xf>
    <xf numFmtId="0" fontId="33" fillId="0" borderId="3" xfId="0" applyFont="1" applyBorder="1" applyAlignment="1" applyProtection="1">
      <alignment horizontal="right" vertical="center"/>
      <protection locked="0" hidden="1"/>
    </xf>
    <xf numFmtId="0" fontId="0" fillId="0" borderId="26" xfId="0" applyBorder="1" applyProtection="1">
      <protection hidden="1"/>
    </xf>
    <xf numFmtId="0" fontId="0" fillId="0" borderId="9" xfId="0" applyBorder="1" applyProtection="1">
      <protection hidden="1"/>
    </xf>
    <xf numFmtId="0" fontId="33" fillId="0" borderId="26" xfId="0" applyFont="1" applyBorder="1" applyAlignment="1" applyProtection="1">
      <alignment vertical="center"/>
      <protection locked="0" hidden="1"/>
    </xf>
    <xf numFmtId="0" fontId="33" fillId="0" borderId="9" xfId="0" applyFont="1" applyBorder="1" applyAlignment="1" applyProtection="1">
      <alignment vertical="center"/>
      <protection locked="0" hidden="1"/>
    </xf>
    <xf numFmtId="0" fontId="0" fillId="5" borderId="4" xfId="0" applyFill="1" applyBorder="1" applyAlignment="1" applyProtection="1">
      <alignment horizontal="center" vertical="center"/>
      <protection locked="0"/>
    </xf>
    <xf numFmtId="0" fontId="0" fillId="27" borderId="22" xfId="0" applyFill="1" applyBorder="1" applyAlignment="1" applyProtection="1">
      <alignment horizontal="center" vertical="center"/>
      <protection locked="0"/>
    </xf>
    <xf numFmtId="0" fontId="0" fillId="27" borderId="5" xfId="0" applyFill="1" applyBorder="1" applyAlignment="1" applyProtection="1">
      <alignment horizontal="center" vertical="center"/>
      <protection locked="0"/>
    </xf>
    <xf numFmtId="0" fontId="2" fillId="28" borderId="8" xfId="0" applyFont="1" applyFill="1" applyBorder="1" applyAlignment="1" applyProtection="1">
      <alignment horizontal="center" vertical="center"/>
      <protection locked="0"/>
    </xf>
    <xf numFmtId="0" fontId="2" fillId="28" borderId="7" xfId="0" applyFont="1" applyFill="1" applyBorder="1" applyAlignment="1" applyProtection="1">
      <alignment horizontal="center" vertical="center"/>
      <protection locked="0"/>
    </xf>
    <xf numFmtId="0" fontId="2" fillId="28" borderId="9" xfId="0" applyFont="1" applyFill="1" applyBorder="1" applyAlignment="1" applyProtection="1">
      <alignment horizontal="center" vertical="center"/>
      <protection locked="0"/>
    </xf>
    <xf numFmtId="0" fontId="35" fillId="0" borderId="63" xfId="0" applyFont="1" applyBorder="1" applyAlignment="1" applyProtection="1">
      <alignment horizontal="center" vertical="center"/>
      <protection locked="0" hidden="1"/>
    </xf>
    <xf numFmtId="0" fontId="0" fillId="0" borderId="1" xfId="0" applyBorder="1"/>
    <xf numFmtId="0" fontId="0" fillId="0" borderId="26" xfId="0" applyBorder="1" applyAlignment="1" applyProtection="1">
      <alignment horizontal="left"/>
      <protection hidden="1"/>
    </xf>
    <xf numFmtId="0" fontId="0" fillId="0" borderId="9" xfId="0" applyBorder="1" applyAlignment="1" applyProtection="1">
      <alignment horizontal="left"/>
      <protection hidden="1"/>
    </xf>
    <xf numFmtId="0" fontId="0" fillId="0" borderId="6" xfId="0" applyBorder="1"/>
    <xf numFmtId="0" fontId="0" fillId="5" borderId="16" xfId="0" applyFill="1" applyBorder="1" applyProtection="1">
      <protection locked="0"/>
    </xf>
    <xf numFmtId="0" fontId="0" fillId="5" borderId="17" xfId="0" applyFill="1" applyBorder="1" applyProtection="1">
      <protection locked="0"/>
    </xf>
    <xf numFmtId="0" fontId="0" fillId="5" borderId="3" xfId="0" applyFill="1" applyBorder="1" applyProtection="1">
      <protection locked="0"/>
    </xf>
    <xf numFmtId="0" fontId="0" fillId="5" borderId="5" xfId="0" applyFill="1" applyBorder="1" applyProtection="1">
      <protection locked="0"/>
    </xf>
    <xf numFmtId="0" fontId="2" fillId="0" borderId="0" xfId="0" applyFont="1" applyAlignment="1" applyProtection="1">
      <alignment horizontal="right"/>
      <protection hidden="1"/>
    </xf>
    <xf numFmtId="0" fontId="0" fillId="5" borderId="77" xfId="0" applyFill="1" applyBorder="1" applyProtection="1">
      <protection locked="0"/>
    </xf>
    <xf numFmtId="0" fontId="23" fillId="0" borderId="2" xfId="0" applyFont="1" applyBorder="1" applyAlignment="1" applyProtection="1">
      <alignment vertical="center"/>
      <protection hidden="1"/>
    </xf>
    <xf numFmtId="0" fontId="10" fillId="0" borderId="9" xfId="0" applyFont="1" applyBorder="1" applyProtection="1">
      <protection hidden="1"/>
    </xf>
    <xf numFmtId="0" fontId="2" fillId="18" borderId="1" xfId="0" applyFont="1" applyFill="1" applyBorder="1" applyAlignment="1">
      <alignment horizontal="center" vertical="center"/>
    </xf>
    <xf numFmtId="0" fontId="34" fillId="18" borderId="1" xfId="0" applyFont="1" applyFill="1" applyBorder="1" applyAlignment="1" applyProtection="1">
      <alignment horizontal="center" vertical="center"/>
      <protection locked="0" hidden="1"/>
    </xf>
    <xf numFmtId="0" fontId="0" fillId="6" borderId="53" xfId="0" applyFill="1" applyBorder="1" applyAlignment="1">
      <alignment horizontal="center"/>
    </xf>
    <xf numFmtId="0" fontId="0" fillId="6" borderId="1" xfId="0" applyFill="1" applyBorder="1" applyAlignment="1">
      <alignment horizontal="center"/>
    </xf>
    <xf numFmtId="0" fontId="0" fillId="6" borderId="1" xfId="0" applyFill="1" applyBorder="1" applyAlignment="1">
      <alignment horizontal="center" vertical="center"/>
    </xf>
    <xf numFmtId="0" fontId="12" fillId="0" borderId="10" xfId="0" applyFont="1" applyBorder="1" applyAlignment="1" applyProtection="1">
      <alignment horizontal="center" vertical="center"/>
      <protection hidden="1"/>
    </xf>
    <xf numFmtId="0" fontId="12" fillId="0" borderId="11" xfId="0" applyFont="1" applyBorder="1" applyAlignment="1" applyProtection="1">
      <alignment horizontal="center" vertical="center"/>
      <protection hidden="1"/>
    </xf>
    <xf numFmtId="0" fontId="12" fillId="0" borderId="25" xfId="0" applyFont="1" applyBorder="1" applyAlignment="1" applyProtection="1">
      <alignment horizontal="center" vertical="center"/>
      <protection hidden="1"/>
    </xf>
    <xf numFmtId="0" fontId="12" fillId="0" borderId="40" xfId="0" applyFont="1" applyBorder="1" applyAlignment="1" applyProtection="1">
      <alignment vertical="center"/>
      <protection hidden="1"/>
    </xf>
    <xf numFmtId="14" fontId="2" fillId="12" borderId="7" xfId="0" applyNumberFormat="1" applyFont="1" applyFill="1" applyBorder="1" applyAlignment="1" applyProtection="1">
      <alignment horizontal="center"/>
      <protection locked="0"/>
    </xf>
    <xf numFmtId="9" fontId="2" fillId="0" borderId="27" xfId="2" applyFont="1" applyFill="1" applyBorder="1" applyAlignment="1" applyProtection="1">
      <alignment horizontal="center"/>
      <protection locked="0"/>
    </xf>
    <xf numFmtId="9" fontId="2" fillId="0" borderId="32" xfId="2" applyFont="1" applyFill="1" applyBorder="1" applyAlignment="1" applyProtection="1">
      <alignment horizontal="center"/>
      <protection locked="0"/>
    </xf>
    <xf numFmtId="9" fontId="2" fillId="0" borderId="33" xfId="2" applyFont="1" applyFill="1" applyBorder="1" applyAlignment="1" applyProtection="1">
      <alignment horizontal="center"/>
      <protection locked="0"/>
    </xf>
    <xf numFmtId="0" fontId="2" fillId="0" borderId="20" xfId="0" applyFont="1" applyBorder="1" applyProtection="1">
      <protection locked="0"/>
    </xf>
    <xf numFmtId="0" fontId="0" fillId="12" borderId="25" xfId="0" applyFill="1" applyBorder="1" applyProtection="1">
      <protection locked="0"/>
    </xf>
    <xf numFmtId="0" fontId="0" fillId="9" borderId="50" xfId="0" applyFill="1" applyBorder="1" applyAlignment="1" applyProtection="1">
      <alignment horizontal="center" vertical="center"/>
      <protection hidden="1"/>
    </xf>
    <xf numFmtId="0" fontId="0" fillId="9" borderId="11" xfId="0" applyFill="1" applyBorder="1" applyAlignment="1" applyProtection="1">
      <alignment horizontal="center" vertical="center"/>
      <protection hidden="1"/>
    </xf>
    <xf numFmtId="0" fontId="0" fillId="9" borderId="51" xfId="0" applyFill="1" applyBorder="1" applyAlignment="1" applyProtection="1">
      <alignment horizontal="center" vertical="center"/>
      <protection hidden="1"/>
    </xf>
    <xf numFmtId="0" fontId="0" fillId="9" borderId="25" xfId="0" applyFill="1" applyBorder="1" applyAlignment="1" applyProtection="1">
      <alignment horizontal="center" vertical="center"/>
      <protection hidden="1"/>
    </xf>
    <xf numFmtId="0" fontId="0" fillId="9" borderId="10" xfId="0" applyFill="1" applyBorder="1" applyAlignment="1" applyProtection="1">
      <alignment horizontal="center" vertical="center"/>
      <protection hidden="1"/>
    </xf>
    <xf numFmtId="0" fontId="0" fillId="9" borderId="12" xfId="0" applyFill="1" applyBorder="1" applyAlignment="1" applyProtection="1">
      <alignment horizontal="center" vertical="center"/>
      <protection hidden="1"/>
    </xf>
    <xf numFmtId="0" fontId="0" fillId="0" borderId="22" xfId="0" applyBorder="1" applyAlignment="1" applyProtection="1">
      <alignment horizontal="center" vertical="center"/>
      <protection hidden="1"/>
    </xf>
    <xf numFmtId="0" fontId="0" fillId="0" borderId="14"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15" borderId="84" xfId="0" applyFill="1" applyBorder="1" applyAlignment="1" applyProtection="1">
      <alignment horizontal="center" vertical="center"/>
      <protection locked="0"/>
    </xf>
    <xf numFmtId="0" fontId="0" fillId="0" borderId="3" xfId="0" applyBorder="1" applyProtection="1">
      <protection locked="0"/>
    </xf>
    <xf numFmtId="0" fontId="2" fillId="12" borderId="19" xfId="0" applyFont="1" applyFill="1" applyBorder="1" applyAlignment="1">
      <alignment horizontal="center"/>
    </xf>
    <xf numFmtId="0" fontId="2" fillId="12" borderId="7" xfId="0" applyFont="1" applyFill="1" applyBorder="1" applyAlignment="1">
      <alignment horizontal="center" vertical="center"/>
    </xf>
    <xf numFmtId="9" fontId="2" fillId="12" borderId="20" xfId="2" applyFont="1" applyFill="1" applyBorder="1" applyAlignment="1" applyProtection="1">
      <alignment horizontal="center" vertical="center"/>
    </xf>
    <xf numFmtId="0" fontId="2" fillId="12" borderId="17" xfId="0" applyFont="1" applyFill="1" applyBorder="1" applyAlignment="1">
      <alignment horizontal="center" vertical="center"/>
    </xf>
    <xf numFmtId="0" fontId="2" fillId="12" borderId="21" xfId="0" applyFont="1" applyFill="1" applyBorder="1"/>
    <xf numFmtId="166" fontId="2" fillId="12" borderId="4" xfId="2" applyNumberFormat="1" applyFont="1" applyFill="1" applyBorder="1" applyAlignment="1" applyProtection="1">
      <alignment horizontal="center" vertical="center"/>
    </xf>
    <xf numFmtId="43" fontId="2" fillId="12" borderId="22" xfId="1" applyFont="1" applyFill="1" applyBorder="1" applyAlignment="1" applyProtection="1">
      <alignment horizontal="center" vertical="center"/>
    </xf>
    <xf numFmtId="0" fontId="2" fillId="14" borderId="83" xfId="0" applyFont="1" applyFill="1" applyBorder="1" applyAlignment="1">
      <alignment horizontal="center" vertical="center"/>
    </xf>
    <xf numFmtId="14" fontId="0" fillId="8" borderId="9" xfId="0" applyNumberFormat="1" applyFill="1" applyBorder="1" applyAlignment="1">
      <alignment horizontal="center"/>
    </xf>
    <xf numFmtId="0" fontId="2" fillId="8" borderId="16" xfId="0" applyFont="1" applyFill="1" applyBorder="1" applyAlignment="1">
      <alignment horizontal="center"/>
    </xf>
    <xf numFmtId="0" fontId="2" fillId="8" borderId="7" xfId="0" applyFont="1" applyFill="1" applyBorder="1" applyAlignment="1">
      <alignment horizontal="center" vertical="center"/>
    </xf>
    <xf numFmtId="9" fontId="2" fillId="8" borderId="20" xfId="2" applyFont="1" applyFill="1" applyBorder="1" applyAlignment="1" applyProtection="1">
      <alignment horizontal="center" vertical="center"/>
    </xf>
    <xf numFmtId="0" fontId="2" fillId="8" borderId="17" xfId="0" applyFont="1" applyFill="1" applyBorder="1" applyAlignment="1">
      <alignment horizontal="center" vertical="center"/>
    </xf>
    <xf numFmtId="9" fontId="0" fillId="9" borderId="13" xfId="2" applyFont="1" applyFill="1" applyBorder="1" applyAlignment="1" applyProtection="1">
      <alignment horizontal="center" vertical="center"/>
    </xf>
    <xf numFmtId="9" fontId="0" fillId="9" borderId="27" xfId="2" applyFont="1" applyFill="1" applyBorder="1" applyAlignment="1" applyProtection="1">
      <alignment horizontal="center"/>
    </xf>
    <xf numFmtId="9" fontId="0" fillId="9" borderId="14" xfId="2" applyFont="1" applyFill="1" applyBorder="1" applyAlignment="1" applyProtection="1">
      <alignment horizontal="center" vertical="center"/>
    </xf>
    <xf numFmtId="9" fontId="0" fillId="9" borderId="23" xfId="2" applyFont="1" applyFill="1" applyBorder="1" applyAlignment="1" applyProtection="1">
      <alignment horizontal="center" vertical="center"/>
    </xf>
    <xf numFmtId="9" fontId="2" fillId="9" borderId="39" xfId="2" applyFont="1" applyFill="1" applyBorder="1" applyAlignment="1" applyProtection="1">
      <alignment horizontal="center"/>
    </xf>
    <xf numFmtId="9" fontId="2" fillId="9" borderId="13" xfId="2" applyFont="1" applyFill="1" applyBorder="1" applyAlignment="1" applyProtection="1">
      <alignment horizontal="center"/>
    </xf>
    <xf numFmtId="9" fontId="2" fillId="9" borderId="52" xfId="2" applyFont="1" applyFill="1" applyBorder="1" applyAlignment="1" applyProtection="1">
      <alignment horizontal="center"/>
    </xf>
    <xf numFmtId="9" fontId="2" fillId="9" borderId="24" xfId="2" applyFont="1" applyFill="1" applyBorder="1" applyAlignment="1" applyProtection="1">
      <alignment horizontal="center"/>
    </xf>
    <xf numFmtId="9" fontId="2" fillId="9" borderId="40" xfId="2" applyFont="1" applyFill="1" applyBorder="1" applyAlignment="1" applyProtection="1">
      <alignment horizontal="center"/>
    </xf>
    <xf numFmtId="9" fontId="2" fillId="9" borderId="22" xfId="2" applyFont="1" applyFill="1" applyBorder="1" applyAlignment="1" applyProtection="1">
      <alignment horizontal="center"/>
    </xf>
    <xf numFmtId="9" fontId="0" fillId="9" borderId="24" xfId="2" applyFont="1" applyFill="1" applyBorder="1" applyAlignment="1" applyProtection="1">
      <alignment horizontal="center" vertical="center"/>
    </xf>
    <xf numFmtId="9" fontId="0" fillId="35" borderId="3" xfId="2" applyFont="1" applyFill="1" applyBorder="1" applyAlignment="1" applyProtection="1"/>
    <xf numFmtId="9" fontId="0" fillId="35" borderId="20" xfId="2" applyFont="1" applyFill="1" applyBorder="1" applyAlignment="1" applyProtection="1"/>
    <xf numFmtId="9" fontId="0" fillId="35" borderId="21" xfId="2" applyFont="1" applyFill="1" applyBorder="1" applyAlignment="1" applyProtection="1"/>
    <xf numFmtId="9" fontId="0" fillId="9" borderId="35" xfId="2" applyFont="1" applyFill="1" applyBorder="1" applyAlignment="1" applyProtection="1">
      <alignment horizontal="center" vertical="center"/>
    </xf>
    <xf numFmtId="9" fontId="0" fillId="35" borderId="82" xfId="2" applyFont="1" applyFill="1" applyBorder="1" applyAlignment="1" applyProtection="1"/>
    <xf numFmtId="9" fontId="0" fillId="35" borderId="34" xfId="2" applyFont="1" applyFill="1" applyBorder="1" applyAlignment="1" applyProtection="1"/>
    <xf numFmtId="9" fontId="2" fillId="9" borderId="36" xfId="2" applyFont="1" applyFill="1" applyBorder="1" applyAlignment="1" applyProtection="1">
      <alignment horizontal="center"/>
    </xf>
    <xf numFmtId="0" fontId="2" fillId="8" borderId="21" xfId="0" applyFont="1" applyFill="1" applyBorder="1"/>
    <xf numFmtId="9" fontId="2" fillId="8" borderId="4" xfId="2" applyFont="1" applyFill="1" applyBorder="1" applyAlignment="1" applyProtection="1">
      <alignment horizontal="center" vertical="center"/>
    </xf>
    <xf numFmtId="9" fontId="2" fillId="8" borderId="22" xfId="2" applyFont="1" applyFill="1" applyBorder="1" applyAlignment="1" applyProtection="1">
      <alignment horizontal="center" vertical="center"/>
    </xf>
    <xf numFmtId="9" fontId="2" fillId="8" borderId="5" xfId="2" applyFont="1" applyFill="1" applyBorder="1" applyAlignment="1" applyProtection="1">
      <alignment horizontal="center" vertical="center"/>
    </xf>
    <xf numFmtId="0" fontId="0" fillId="9" borderId="20" xfId="0" applyFill="1" applyBorder="1"/>
    <xf numFmtId="0" fontId="0" fillId="9" borderId="21" xfId="0" applyFill="1" applyBorder="1"/>
    <xf numFmtId="0" fontId="0" fillId="9" borderId="22" xfId="0" applyFill="1" applyBorder="1"/>
    <xf numFmtId="0" fontId="2" fillId="5" borderId="44" xfId="0" applyFont="1" applyFill="1" applyBorder="1"/>
    <xf numFmtId="0" fontId="2" fillId="5" borderId="78" xfId="0" applyFont="1" applyFill="1" applyBorder="1"/>
    <xf numFmtId="0" fontId="2" fillId="5" borderId="46" xfId="0" applyFont="1" applyFill="1" applyBorder="1"/>
    <xf numFmtId="0" fontId="2" fillId="5" borderId="41" xfId="0" applyFont="1" applyFill="1" applyBorder="1"/>
    <xf numFmtId="0" fontId="2" fillId="5" borderId="37" xfId="0" applyFont="1" applyFill="1" applyBorder="1"/>
    <xf numFmtId="0" fontId="0" fillId="5" borderId="55" xfId="0" applyFill="1" applyBorder="1"/>
    <xf numFmtId="0" fontId="0" fillId="5" borderId="79" xfId="0" applyFill="1" applyBorder="1"/>
    <xf numFmtId="0" fontId="0" fillId="5" borderId="80" xfId="0" applyFill="1" applyBorder="1"/>
    <xf numFmtId="10" fontId="0" fillId="33" borderId="13" xfId="2" applyNumberFormat="1" applyFont="1" applyFill="1" applyBorder="1" applyAlignment="1" applyProtection="1">
      <alignment horizontal="center" vertical="center"/>
    </xf>
    <xf numFmtId="10" fontId="0" fillId="33" borderId="14" xfId="2" applyNumberFormat="1" applyFont="1" applyFill="1" applyBorder="1" applyAlignment="1" applyProtection="1">
      <alignment horizontal="center" vertical="center"/>
    </xf>
    <xf numFmtId="10" fontId="0" fillId="33" borderId="23" xfId="2" applyNumberFormat="1" applyFont="1" applyFill="1" applyBorder="1" applyAlignment="1" applyProtection="1">
      <alignment horizontal="center" vertical="center"/>
    </xf>
    <xf numFmtId="10" fontId="0" fillId="0" borderId="13" xfId="2" applyNumberFormat="1" applyFont="1" applyFill="1" applyBorder="1" applyAlignment="1" applyProtection="1">
      <alignment horizontal="center" vertical="center"/>
      <protection locked="0"/>
    </xf>
    <xf numFmtId="10" fontId="0" fillId="0" borderId="2" xfId="2" applyNumberFormat="1" applyFont="1" applyFill="1" applyBorder="1" applyAlignment="1" applyProtection="1">
      <alignment horizontal="center" vertical="center"/>
      <protection locked="0"/>
    </xf>
    <xf numFmtId="10" fontId="0" fillId="0" borderId="25" xfId="2" applyNumberFormat="1" applyFont="1" applyFill="1" applyBorder="1" applyAlignment="1" applyProtection="1">
      <alignment horizontal="center" vertical="center"/>
      <protection locked="0"/>
    </xf>
    <xf numFmtId="10" fontId="0" fillId="0" borderId="10" xfId="2" applyNumberFormat="1" applyFont="1" applyFill="1" applyBorder="1" applyAlignment="1" applyProtection="1">
      <alignment horizontal="center" vertical="center"/>
      <protection locked="0"/>
    </xf>
    <xf numFmtId="10" fontId="0" fillId="0" borderId="11" xfId="2" applyNumberFormat="1" applyFont="1" applyFill="1" applyBorder="1" applyAlignment="1" applyProtection="1">
      <alignment horizontal="center" vertical="center"/>
      <protection locked="0"/>
    </xf>
    <xf numFmtId="10" fontId="0" fillId="0" borderId="50" xfId="2" applyNumberFormat="1" applyFont="1" applyFill="1" applyBorder="1" applyAlignment="1" applyProtection="1">
      <alignment horizontal="center" vertical="center"/>
      <protection locked="0"/>
    </xf>
    <xf numFmtId="9" fontId="0" fillId="0" borderId="0" xfId="2"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14" fontId="0" fillId="0" borderId="0" xfId="0" applyNumberFormat="1" applyAlignment="1" applyProtection="1">
      <alignment horizontal="center" vertical="center"/>
      <protection locked="0"/>
    </xf>
    <xf numFmtId="0" fontId="0" fillId="0" borderId="0" xfId="5" applyFont="1" applyFill="1" applyBorder="1" applyAlignment="1" applyProtection="1">
      <alignment horizontal="center" vertical="center"/>
    </xf>
    <xf numFmtId="14" fontId="0" fillId="0" borderId="0" xfId="5" applyNumberFormat="1" applyFont="1" applyFill="1" applyBorder="1" applyAlignment="1" applyProtection="1">
      <alignment horizontal="center" vertical="center"/>
    </xf>
    <xf numFmtId="0" fontId="0" fillId="0" borderId="0" xfId="7" applyFont="1" applyFill="1" applyBorder="1" applyAlignment="1" applyProtection="1">
      <alignment horizontal="center" vertical="center"/>
    </xf>
    <xf numFmtId="9" fontId="0" fillId="0" borderId="0" xfId="2" applyFont="1" applyFill="1" applyBorder="1" applyAlignment="1" applyProtection="1">
      <alignment horizontal="center" vertical="center"/>
    </xf>
    <xf numFmtId="0" fontId="0" fillId="0" borderId="0" xfId="6" applyFont="1" applyFill="1" applyBorder="1" applyAlignment="1" applyProtection="1">
      <alignment horizontal="center" vertical="center"/>
    </xf>
    <xf numFmtId="0" fontId="21" fillId="0" borderId="1" xfId="0" applyFont="1" applyBorder="1" applyAlignment="1">
      <alignment horizontal="center" vertical="top" wrapText="1"/>
    </xf>
    <xf numFmtId="0" fontId="2" fillId="9" borderId="87" xfId="0" applyFont="1" applyFill="1" applyBorder="1" applyAlignment="1">
      <alignment horizontal="left" vertical="center"/>
    </xf>
    <xf numFmtId="14" fontId="0" fillId="36" borderId="0" xfId="4" applyNumberFormat="1" applyFont="1" applyFill="1" applyBorder="1" applyAlignment="1" applyProtection="1">
      <alignment horizontal="center" vertical="center"/>
    </xf>
    <xf numFmtId="0" fontId="0" fillId="36" borderId="0" xfId="4" applyFont="1" applyFill="1" applyBorder="1" applyAlignment="1" applyProtection="1">
      <alignment horizontal="center" vertical="center"/>
    </xf>
    <xf numFmtId="166" fontId="0" fillId="34" borderId="20" xfId="2" applyNumberFormat="1" applyFont="1" applyFill="1" applyBorder="1" applyAlignment="1" applyProtection="1"/>
    <xf numFmtId="166" fontId="0" fillId="34" borderId="21" xfId="2" applyNumberFormat="1" applyFont="1" applyFill="1" applyBorder="1" applyAlignment="1" applyProtection="1"/>
    <xf numFmtId="166" fontId="0" fillId="34" borderId="22" xfId="2" applyNumberFormat="1" applyFont="1" applyFill="1" applyBorder="1" applyAlignment="1" applyProtection="1"/>
    <xf numFmtId="0" fontId="2" fillId="37" borderId="8" xfId="8" applyFont="1" applyBorder="1" applyAlignment="1">
      <alignment horizontal="center" vertical="center"/>
    </xf>
    <xf numFmtId="0" fontId="2" fillId="37" borderId="7" xfId="8" applyFont="1" applyBorder="1" applyAlignment="1">
      <alignment horizontal="center" vertical="center"/>
    </xf>
    <xf numFmtId="0" fontId="2" fillId="37" borderId="26" xfId="8" applyFont="1" applyBorder="1" applyAlignment="1">
      <alignment horizontal="center" vertical="center"/>
    </xf>
    <xf numFmtId="0" fontId="0" fillId="9" borderId="8" xfId="0" applyFill="1" applyBorder="1" applyAlignment="1">
      <alignment horizontal="center" vertical="center"/>
    </xf>
    <xf numFmtId="0" fontId="0" fillId="9" borderId="7" xfId="0" applyFill="1" applyBorder="1" applyAlignment="1">
      <alignment horizontal="center" vertical="center"/>
    </xf>
    <xf numFmtId="0" fontId="0" fillId="9" borderId="26" xfId="0" applyFill="1" applyBorder="1" applyAlignment="1">
      <alignment horizontal="center" vertical="center"/>
    </xf>
    <xf numFmtId="10" fontId="2" fillId="33" borderId="24" xfId="2" applyNumberFormat="1" applyFont="1" applyFill="1" applyBorder="1" applyAlignment="1" applyProtection="1">
      <alignment horizontal="center"/>
    </xf>
    <xf numFmtId="10" fontId="2" fillId="33" borderId="22" xfId="2" applyNumberFormat="1" applyFont="1" applyFill="1" applyBorder="1" applyAlignment="1" applyProtection="1">
      <alignment horizontal="center"/>
    </xf>
    <xf numFmtId="10" fontId="2" fillId="33" borderId="36" xfId="2" applyNumberFormat="1" applyFont="1" applyFill="1" applyBorder="1" applyAlignment="1" applyProtection="1">
      <alignment horizontal="center"/>
    </xf>
    <xf numFmtId="10" fontId="2" fillId="33" borderId="29" xfId="2" applyNumberFormat="1" applyFont="1" applyFill="1" applyBorder="1" applyAlignment="1" applyProtection="1">
      <alignment horizontal="center"/>
    </xf>
    <xf numFmtId="10" fontId="2" fillId="33" borderId="52" xfId="2" applyNumberFormat="1" applyFont="1" applyFill="1" applyBorder="1" applyAlignment="1" applyProtection="1">
      <alignment horizontal="center"/>
    </xf>
    <xf numFmtId="10" fontId="2" fillId="33" borderId="40" xfId="2" applyNumberFormat="1" applyFont="1" applyFill="1" applyBorder="1" applyAlignment="1" applyProtection="1">
      <alignment horizontal="center"/>
    </xf>
    <xf numFmtId="2" fontId="0" fillId="33" borderId="39" xfId="0" applyNumberFormat="1" applyFill="1" applyBorder="1" applyAlignment="1">
      <alignment horizontal="center" vertical="center"/>
    </xf>
    <xf numFmtId="2" fontId="0" fillId="33" borderId="52" xfId="0" applyNumberFormat="1" applyFill="1" applyBorder="1" applyAlignment="1">
      <alignment horizontal="center" vertical="center"/>
    </xf>
    <xf numFmtId="2" fontId="0" fillId="33" borderId="40" xfId="0" applyNumberFormat="1" applyFill="1" applyBorder="1" applyAlignment="1">
      <alignment horizontal="center" vertical="center"/>
    </xf>
    <xf numFmtId="2" fontId="0" fillId="33" borderId="13" xfId="0" applyNumberFormat="1" applyFill="1" applyBorder="1" applyAlignment="1">
      <alignment horizontal="center" vertical="center"/>
    </xf>
    <xf numFmtId="2" fontId="0" fillId="33" borderId="14" xfId="0" applyNumberFormat="1" applyFill="1" applyBorder="1" applyAlignment="1">
      <alignment horizontal="center" vertical="center"/>
    </xf>
    <xf numFmtId="2" fontId="0" fillId="33" borderId="23" xfId="0" applyNumberFormat="1" applyFill="1" applyBorder="1" applyAlignment="1">
      <alignment horizontal="center" vertical="center"/>
    </xf>
    <xf numFmtId="2" fontId="0" fillId="33" borderId="24" xfId="0" applyNumberFormat="1" applyFill="1" applyBorder="1" applyAlignment="1">
      <alignment horizontal="center" vertical="center"/>
    </xf>
    <xf numFmtId="165" fontId="2" fillId="12" borderId="22" xfId="2" applyNumberFormat="1" applyFont="1" applyFill="1" applyBorder="1" applyAlignment="1" applyProtection="1">
      <alignment horizontal="center" vertical="center"/>
    </xf>
    <xf numFmtId="165" fontId="2" fillId="12" borderId="5" xfId="2" applyNumberFormat="1" applyFont="1" applyFill="1" applyBorder="1" applyAlignment="1" applyProtection="1">
      <alignment horizontal="center" vertical="center"/>
    </xf>
    <xf numFmtId="14" fontId="0" fillId="0" borderId="0" xfId="5" applyNumberFormat="1" applyFont="1" applyFill="1" applyBorder="1" applyAlignment="1" applyProtection="1">
      <alignment horizontal="center" vertical="center"/>
      <protection locked="0"/>
    </xf>
    <xf numFmtId="0" fontId="0" fillId="0" borderId="0" xfId="7" applyFont="1" applyFill="1" applyBorder="1" applyAlignment="1" applyProtection="1">
      <alignment horizontal="center" vertical="center"/>
      <protection locked="0"/>
    </xf>
    <xf numFmtId="0" fontId="0" fillId="0" borderId="0" xfId="6" applyFont="1" applyFill="1" applyBorder="1" applyAlignment="1" applyProtection="1">
      <alignment horizontal="center" vertical="center"/>
      <protection locked="0"/>
    </xf>
    <xf numFmtId="10" fontId="0" fillId="0" borderId="0" xfId="2" applyNumberFormat="1" applyFont="1" applyFill="1" applyBorder="1" applyAlignment="1" applyProtection="1">
      <alignment horizontal="center" vertical="center"/>
      <protection locked="0"/>
    </xf>
    <xf numFmtId="14" fontId="0" fillId="36" borderId="0" xfId="4" applyNumberFormat="1" applyFont="1" applyFill="1" applyBorder="1" applyAlignment="1" applyProtection="1">
      <alignment horizontal="center" vertical="center"/>
      <protection locked="0"/>
    </xf>
    <xf numFmtId="0" fontId="0" fillId="36" borderId="0" xfId="4" applyFont="1" applyFill="1" applyBorder="1" applyAlignment="1" applyProtection="1">
      <alignment horizontal="center" vertical="center"/>
      <protection locked="0"/>
    </xf>
    <xf numFmtId="165" fontId="0" fillId="0" borderId="0" xfId="2" applyNumberFormat="1" applyFont="1" applyFill="1" applyBorder="1" applyAlignment="1" applyProtection="1">
      <alignment horizontal="center" vertical="center"/>
    </xf>
    <xf numFmtId="14" fontId="0" fillId="5" borderId="88" xfId="0" applyNumberFormat="1" applyFill="1" applyBorder="1" applyAlignment="1">
      <alignment horizontal="center" vertical="center" wrapText="1"/>
    </xf>
    <xf numFmtId="0" fontId="0" fillId="5" borderId="88" xfId="0" applyFill="1" applyBorder="1" applyAlignment="1">
      <alignment horizontal="center" vertical="center" wrapText="1"/>
    </xf>
    <xf numFmtId="14" fontId="0" fillId="5" borderId="1" xfId="0" applyNumberFormat="1" applyFill="1" applyBorder="1" applyAlignment="1">
      <alignment horizontal="center" vertical="center" wrapText="1"/>
    </xf>
    <xf numFmtId="9" fontId="0" fillId="0" borderId="6" xfId="0" applyNumberFormat="1" applyBorder="1" applyAlignment="1">
      <alignment horizontal="center" vertical="center" wrapText="1"/>
    </xf>
    <xf numFmtId="9" fontId="0" fillId="0" borderId="1" xfId="0" applyNumberFormat="1" applyBorder="1" applyAlignment="1">
      <alignment horizontal="center" vertical="center" wrapText="1"/>
    </xf>
    <xf numFmtId="0" fontId="0" fillId="0" borderId="0" xfId="5" applyFont="1" applyFill="1" applyBorder="1" applyAlignment="1" applyProtection="1">
      <alignment horizontal="center" vertical="center"/>
      <protection locked="0"/>
    </xf>
    <xf numFmtId="14" fontId="0" fillId="36" borderId="0" xfId="0" applyNumberFormat="1" applyFill="1" applyAlignment="1" applyProtection="1">
      <alignment horizontal="center" vertical="center"/>
      <protection locked="0"/>
    </xf>
    <xf numFmtId="0" fontId="0" fillId="36" borderId="0" xfId="0" applyFill="1" applyAlignment="1" applyProtection="1">
      <alignment horizontal="center" vertical="center"/>
      <protection locked="0"/>
    </xf>
    <xf numFmtId="0" fontId="4" fillId="7" borderId="44" xfId="0" applyFont="1" applyFill="1" applyBorder="1" applyAlignment="1">
      <alignment horizontal="center" vertical="center" wrapText="1"/>
    </xf>
    <xf numFmtId="0" fontId="4" fillId="7" borderId="64" xfId="0" applyFont="1" applyFill="1" applyBorder="1" applyAlignment="1">
      <alignment horizontal="center" vertical="center" wrapText="1"/>
    </xf>
    <xf numFmtId="0" fontId="4" fillId="7" borderId="66" xfId="0" applyFont="1" applyFill="1" applyBorder="1" applyAlignment="1">
      <alignment horizontal="center" vertical="center" wrapText="1"/>
    </xf>
    <xf numFmtId="0" fontId="4" fillId="7" borderId="27" xfId="0" applyFont="1" applyFill="1" applyBorder="1" applyAlignment="1">
      <alignment horizontal="center" vertical="center" wrapText="1"/>
    </xf>
    <xf numFmtId="0" fontId="0" fillId="23" borderId="63" xfId="0" applyFill="1" applyBorder="1" applyAlignment="1">
      <alignment horizontal="center" vertical="center" wrapText="1"/>
    </xf>
    <xf numFmtId="0" fontId="0" fillId="23" borderId="65" xfId="0" applyFill="1" applyBorder="1" applyAlignment="1">
      <alignment horizontal="center" vertical="center" wrapText="1"/>
    </xf>
    <xf numFmtId="0" fontId="0" fillId="23" borderId="53" xfId="0" applyFill="1" applyBorder="1" applyAlignment="1">
      <alignment horizontal="center" vertical="center" wrapText="1"/>
    </xf>
    <xf numFmtId="0" fontId="0" fillId="26" borderId="63" xfId="0" applyFill="1" applyBorder="1" applyAlignment="1">
      <alignment horizontal="center" vertical="center" wrapText="1"/>
    </xf>
    <xf numFmtId="0" fontId="0" fillId="24" borderId="53" xfId="0" applyFill="1" applyBorder="1" applyAlignment="1">
      <alignment horizontal="center" vertical="center" wrapText="1"/>
    </xf>
    <xf numFmtId="0" fontId="0" fillId="38" borderId="63" xfId="0" applyFill="1" applyBorder="1" applyAlignment="1">
      <alignment horizontal="center" vertical="center" wrapText="1"/>
    </xf>
    <xf numFmtId="0" fontId="0" fillId="26" borderId="65" xfId="0" applyFill="1" applyBorder="1" applyAlignment="1">
      <alignment horizontal="center" vertical="center" wrapText="1"/>
    </xf>
    <xf numFmtId="0" fontId="0" fillId="38" borderId="53" xfId="0" applyFill="1" applyBorder="1" applyAlignment="1">
      <alignment horizontal="center" vertical="center" wrapText="1"/>
    </xf>
    <xf numFmtId="0" fontId="0" fillId="5" borderId="54" xfId="0" applyFill="1" applyBorder="1" applyAlignment="1">
      <alignment horizontal="center" vertical="center" wrapText="1"/>
    </xf>
    <xf numFmtId="165" fontId="0" fillId="0" borderId="0" xfId="2" applyNumberFormat="1" applyFont="1" applyFill="1" applyBorder="1" applyAlignment="1" applyProtection="1">
      <alignment horizontal="center" vertical="center"/>
      <protection locked="0"/>
    </xf>
    <xf numFmtId="0" fontId="0" fillId="24" borderId="63" xfId="0" applyFill="1" applyBorder="1" applyAlignment="1">
      <alignment horizontal="center" vertical="center" wrapText="1"/>
    </xf>
    <xf numFmtId="0" fontId="0" fillId="39" borderId="63" xfId="0" applyFill="1" applyBorder="1" applyAlignment="1">
      <alignment horizontal="center" vertical="center" wrapText="1"/>
    </xf>
    <xf numFmtId="0" fontId="2" fillId="5" borderId="65"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5" borderId="42" xfId="0" applyFont="1" applyFill="1" applyBorder="1" applyAlignment="1">
      <alignment horizontal="center" vertical="center" wrapText="1"/>
    </xf>
    <xf numFmtId="0" fontId="2" fillId="5" borderId="41"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2" fillId="0" borderId="41" xfId="0" applyFont="1" applyBorder="1" applyAlignment="1">
      <alignment horizontal="center" vertical="center" wrapText="1"/>
    </xf>
    <xf numFmtId="0" fontId="2" fillId="0" borderId="1" xfId="0" applyFont="1" applyBorder="1" applyAlignment="1">
      <alignment horizontal="center" vertical="center" wrapText="1"/>
    </xf>
    <xf numFmtId="0" fontId="2" fillId="0" borderId="42" xfId="0" applyFont="1" applyBorder="1" applyAlignment="1">
      <alignment horizontal="center" vertical="center" wrapText="1"/>
    </xf>
    <xf numFmtId="0" fontId="2" fillId="0" borderId="53" xfId="0" applyFont="1" applyBorder="1" applyAlignment="1">
      <alignment horizontal="center" vertical="center" wrapText="1"/>
    </xf>
    <xf numFmtId="0" fontId="2" fillId="39" borderId="63" xfId="0" applyFont="1" applyFill="1" applyBorder="1" applyAlignment="1">
      <alignment horizontal="center" vertical="center" wrapText="1"/>
    </xf>
    <xf numFmtId="0" fontId="2" fillId="26" borderId="53" xfId="0" applyFont="1" applyFill="1" applyBorder="1" applyAlignment="1">
      <alignment horizontal="center" vertical="center" wrapText="1"/>
    </xf>
    <xf numFmtId="0" fontId="0" fillId="24" borderId="54" xfId="0" applyFill="1" applyBorder="1" applyAlignment="1">
      <alignment horizontal="center" vertical="center" wrapText="1"/>
    </xf>
    <xf numFmtId="10" fontId="0" fillId="36" borderId="0" xfId="0" applyNumberFormat="1" applyFill="1" applyAlignment="1" applyProtection="1">
      <alignment horizontal="center" vertical="center" wrapText="1"/>
      <protection locked="0"/>
    </xf>
    <xf numFmtId="0" fontId="5" fillId="0" borderId="0" xfId="5" applyFont="1" applyFill="1" applyBorder="1" applyAlignment="1" applyProtection="1">
      <alignment horizontal="center" vertical="center"/>
      <protection locked="0"/>
    </xf>
    <xf numFmtId="14" fontId="5" fillId="0" borderId="0" xfId="5" applyNumberFormat="1" applyFont="1" applyFill="1" applyBorder="1" applyAlignment="1" applyProtection="1">
      <alignment horizontal="center" vertical="center"/>
      <protection locked="0"/>
    </xf>
    <xf numFmtId="0" fontId="5" fillId="0" borderId="0" xfId="7" applyFont="1" applyFill="1" applyBorder="1" applyAlignment="1" applyProtection="1">
      <alignment horizontal="center" vertical="center"/>
      <protection locked="0"/>
    </xf>
    <xf numFmtId="165" fontId="5" fillId="0" borderId="0" xfId="2" applyNumberFormat="1" applyFont="1" applyFill="1" applyBorder="1" applyAlignment="1" applyProtection="1">
      <alignment horizontal="center" vertical="center"/>
      <protection locked="0"/>
    </xf>
    <xf numFmtId="9" fontId="5" fillId="0" borderId="0" xfId="2" applyFont="1" applyFill="1" applyBorder="1" applyAlignment="1" applyProtection="1">
      <alignment horizontal="center" vertical="center"/>
      <protection locked="0"/>
    </xf>
    <xf numFmtId="0" fontId="5" fillId="0" borderId="0" xfId="6" applyFont="1" applyFill="1" applyBorder="1" applyAlignment="1" applyProtection="1">
      <alignment horizontal="center" vertical="center"/>
      <protection locked="0"/>
    </xf>
    <xf numFmtId="10" fontId="5" fillId="0" borderId="0" xfId="2" applyNumberFormat="1" applyFont="1" applyFill="1" applyBorder="1" applyAlignment="1" applyProtection="1">
      <alignment horizontal="center" vertical="center"/>
      <protection locked="0"/>
    </xf>
    <xf numFmtId="0" fontId="0" fillId="36" borderId="0" xfId="0" applyFill="1" applyAlignment="1" applyProtection="1">
      <alignment horizontal="center" vertical="center" wrapText="1"/>
      <protection locked="0"/>
    </xf>
    <xf numFmtId="0" fontId="42" fillId="2" borderId="1" xfId="0" applyFont="1" applyFill="1" applyBorder="1" applyAlignment="1">
      <alignment horizontal="center" vertical="center" wrapText="1"/>
    </xf>
    <xf numFmtId="167" fontId="42" fillId="2" borderId="1" xfId="0" applyNumberFormat="1" applyFont="1" applyFill="1" applyBorder="1" applyAlignment="1">
      <alignment horizontal="center" vertical="center" wrapText="1"/>
    </xf>
    <xf numFmtId="0" fontId="42" fillId="2" borderId="11" xfId="0" applyFont="1" applyFill="1" applyBorder="1" applyAlignment="1">
      <alignment horizontal="center" vertical="center" wrapText="1"/>
    </xf>
    <xf numFmtId="0" fontId="42" fillId="2" borderId="63" xfId="0" applyFont="1" applyFill="1" applyBorder="1" applyAlignment="1">
      <alignment horizontal="center" vertical="center" wrapText="1"/>
    </xf>
    <xf numFmtId="0" fontId="4" fillId="7" borderId="44" xfId="0" applyFont="1" applyFill="1" applyBorder="1" applyAlignment="1">
      <alignment horizontal="center" vertical="center" wrapText="1"/>
    </xf>
    <xf numFmtId="0" fontId="4" fillId="7" borderId="64" xfId="0" applyFont="1" applyFill="1" applyBorder="1" applyAlignment="1">
      <alignment horizontal="center" vertical="center" wrapText="1"/>
    </xf>
    <xf numFmtId="0" fontId="4" fillId="7" borderId="66" xfId="0" applyFont="1" applyFill="1" applyBorder="1" applyAlignment="1">
      <alignment horizontal="center" vertical="center" wrapText="1"/>
    </xf>
    <xf numFmtId="0" fontId="4" fillId="7" borderId="2" xfId="0" applyFont="1" applyFill="1" applyBorder="1" applyAlignment="1">
      <alignment horizontal="center" vertical="center" wrapText="1"/>
    </xf>
    <xf numFmtId="0" fontId="4" fillId="7" borderId="0" xfId="0" applyFont="1" applyFill="1" applyAlignment="1">
      <alignment horizontal="center" vertical="center" wrapText="1"/>
    </xf>
    <xf numFmtId="0" fontId="2" fillId="8" borderId="19" xfId="0" applyFont="1" applyFill="1" applyBorder="1" applyAlignment="1">
      <alignment horizontal="center" vertical="center" wrapText="1"/>
    </xf>
    <xf numFmtId="0" fontId="2" fillId="8" borderId="16" xfId="0" applyFont="1" applyFill="1" applyBorder="1" applyAlignment="1">
      <alignment horizontal="center" vertical="center" wrapText="1"/>
    </xf>
    <xf numFmtId="0" fontId="2" fillId="8" borderId="17" xfId="0" applyFont="1" applyFill="1" applyBorder="1" applyAlignment="1">
      <alignment horizontal="center" vertical="center" wrapText="1"/>
    </xf>
    <xf numFmtId="0" fontId="0" fillId="5" borderId="16" xfId="0" applyFill="1" applyBorder="1" applyAlignment="1" applyProtection="1">
      <alignment horizontal="center" vertical="center"/>
      <protection locked="0"/>
    </xf>
    <xf numFmtId="0" fontId="0" fillId="5" borderId="17" xfId="0" applyFill="1" applyBorder="1" applyAlignment="1" applyProtection="1">
      <alignment horizontal="center" vertical="center"/>
      <protection locked="0"/>
    </xf>
    <xf numFmtId="0" fontId="0" fillId="5" borderId="0" xfId="0" applyFill="1" applyAlignment="1" applyProtection="1">
      <alignment horizontal="center" vertical="center"/>
      <protection locked="0"/>
    </xf>
    <xf numFmtId="0" fontId="0" fillId="5" borderId="3" xfId="0" applyFill="1" applyBorder="1" applyAlignment="1" applyProtection="1">
      <alignment horizontal="center" vertical="center"/>
      <protection locked="0"/>
    </xf>
    <xf numFmtId="0" fontId="0" fillId="5" borderId="18" xfId="0" applyFill="1" applyBorder="1" applyAlignment="1" applyProtection="1">
      <alignment horizontal="center" vertical="center"/>
      <protection locked="0"/>
    </xf>
    <xf numFmtId="0" fontId="0" fillId="5" borderId="5" xfId="0" applyFill="1" applyBorder="1" applyAlignment="1" applyProtection="1">
      <alignment horizontal="center" vertical="center"/>
      <protection locked="0"/>
    </xf>
    <xf numFmtId="0" fontId="2" fillId="12" borderId="19" xfId="0" applyFont="1" applyFill="1" applyBorder="1" applyAlignment="1">
      <alignment horizontal="center" vertical="center" wrapText="1"/>
    </xf>
    <xf numFmtId="0" fontId="2" fillId="12" borderId="16" xfId="0" applyFont="1" applyFill="1" applyBorder="1" applyAlignment="1">
      <alignment horizontal="center" vertical="center" wrapText="1"/>
    </xf>
    <xf numFmtId="0" fontId="2" fillId="12" borderId="17" xfId="0" applyFont="1" applyFill="1" applyBorder="1" applyAlignment="1">
      <alignment horizontal="center" vertical="center" wrapText="1"/>
    </xf>
    <xf numFmtId="0" fontId="0" fillId="5" borderId="85" xfId="0" applyFill="1" applyBorder="1" applyAlignment="1">
      <alignment horizontal="center" vertical="center"/>
    </xf>
    <xf numFmtId="0" fontId="0" fillId="5" borderId="86" xfId="0" applyFill="1" applyBorder="1" applyAlignment="1">
      <alignment horizontal="center" vertical="center"/>
    </xf>
    <xf numFmtId="9" fontId="0" fillId="34" borderId="19" xfId="2" applyFont="1" applyFill="1" applyBorder="1" applyAlignment="1" applyProtection="1">
      <alignment horizontal="center"/>
    </xf>
    <xf numFmtId="9" fontId="0" fillId="34" borderId="17" xfId="2" applyFont="1" applyFill="1" applyBorder="1" applyAlignment="1" applyProtection="1">
      <alignment horizontal="center"/>
    </xf>
    <xf numFmtId="9" fontId="0" fillId="34" borderId="2" xfId="2" applyFont="1" applyFill="1" applyBorder="1" applyAlignment="1" applyProtection="1">
      <alignment horizontal="center"/>
    </xf>
    <xf numFmtId="9" fontId="0" fillId="34" borderId="3" xfId="2" applyFont="1" applyFill="1" applyBorder="1" applyAlignment="1" applyProtection="1">
      <alignment horizontal="center"/>
    </xf>
    <xf numFmtId="9" fontId="0" fillId="34" borderId="4" xfId="2" applyFont="1" applyFill="1" applyBorder="1" applyAlignment="1" applyProtection="1">
      <alignment horizontal="center"/>
    </xf>
    <xf numFmtId="9" fontId="0" fillId="34" borderId="5" xfId="2" applyFont="1" applyFill="1" applyBorder="1" applyAlignment="1" applyProtection="1">
      <alignment horizontal="center"/>
    </xf>
    <xf numFmtId="166" fontId="0" fillId="34" borderId="2" xfId="2" applyNumberFormat="1" applyFont="1" applyFill="1" applyBorder="1" applyAlignment="1" applyProtection="1">
      <alignment horizontal="center"/>
    </xf>
    <xf numFmtId="166" fontId="0" fillId="34" borderId="3" xfId="2" applyNumberFormat="1" applyFont="1" applyFill="1" applyBorder="1" applyAlignment="1" applyProtection="1">
      <alignment horizontal="center"/>
    </xf>
    <xf numFmtId="166" fontId="0" fillId="34" borderId="81" xfId="2" applyNumberFormat="1" applyFont="1" applyFill="1" applyBorder="1" applyAlignment="1" applyProtection="1">
      <alignment horizontal="center"/>
    </xf>
    <xf numFmtId="166" fontId="0" fillId="34" borderId="82" xfId="2" applyNumberFormat="1" applyFont="1" applyFill="1" applyBorder="1" applyAlignment="1" applyProtection="1">
      <alignment horizontal="center"/>
    </xf>
    <xf numFmtId="9" fontId="0" fillId="35" borderId="19" xfId="2" applyFont="1" applyFill="1" applyBorder="1" applyAlignment="1" applyProtection="1">
      <alignment horizontal="center"/>
    </xf>
    <xf numFmtId="9" fontId="0" fillId="35" borderId="17" xfId="2" applyFont="1" applyFill="1" applyBorder="1" applyAlignment="1" applyProtection="1">
      <alignment horizontal="center"/>
    </xf>
    <xf numFmtId="9" fontId="0" fillId="35" borderId="2" xfId="2" applyFont="1" applyFill="1" applyBorder="1" applyAlignment="1" applyProtection="1">
      <alignment horizontal="center"/>
    </xf>
    <xf numFmtId="9" fontId="0" fillId="35" borderId="3" xfId="2" applyFont="1" applyFill="1" applyBorder="1" applyAlignment="1" applyProtection="1">
      <alignment horizontal="center"/>
    </xf>
    <xf numFmtId="9" fontId="0" fillId="35" borderId="4" xfId="2" applyFont="1" applyFill="1" applyBorder="1" applyAlignment="1" applyProtection="1">
      <alignment horizontal="center"/>
    </xf>
    <xf numFmtId="9" fontId="0" fillId="35" borderId="5" xfId="2" applyFont="1" applyFill="1" applyBorder="1" applyAlignment="1" applyProtection="1">
      <alignment horizontal="center"/>
    </xf>
    <xf numFmtId="0" fontId="0" fillId="9" borderId="16" xfId="0" applyFill="1" applyBorder="1" applyAlignment="1">
      <alignment horizontal="center" vertical="center"/>
    </xf>
    <xf numFmtId="0" fontId="0" fillId="9" borderId="17" xfId="0" applyFill="1" applyBorder="1" applyAlignment="1">
      <alignment horizontal="center" vertical="center"/>
    </xf>
    <xf numFmtId="0" fontId="0" fillId="9" borderId="0" xfId="0" applyFill="1" applyAlignment="1">
      <alignment horizontal="center" vertical="center"/>
    </xf>
    <xf numFmtId="0" fontId="0" fillId="9" borderId="3" xfId="0" applyFill="1" applyBorder="1" applyAlignment="1">
      <alignment horizontal="center" vertical="center"/>
    </xf>
    <xf numFmtId="0" fontId="0" fillId="9" borderId="18" xfId="0" applyFill="1" applyBorder="1" applyAlignment="1">
      <alignment horizontal="center" vertical="center"/>
    </xf>
    <xf numFmtId="0" fontId="0" fillId="9" borderId="5" xfId="0" applyFill="1" applyBorder="1" applyAlignment="1">
      <alignment horizontal="center" vertical="center"/>
    </xf>
    <xf numFmtId="0" fontId="15" fillId="21" borderId="10" xfId="0" applyFont="1" applyFill="1" applyBorder="1" applyAlignment="1" applyProtection="1">
      <alignment horizontal="center" vertical="center"/>
      <protection hidden="1"/>
    </xf>
    <xf numFmtId="0" fontId="15" fillId="21" borderId="27" xfId="0" applyFont="1" applyFill="1" applyBorder="1" applyAlignment="1" applyProtection="1">
      <alignment horizontal="center" vertical="center"/>
      <protection hidden="1"/>
    </xf>
    <xf numFmtId="0" fontId="15" fillId="21" borderId="39" xfId="0" applyFont="1" applyFill="1" applyBorder="1" applyAlignment="1" applyProtection="1">
      <alignment horizontal="center" vertical="center"/>
      <protection hidden="1"/>
    </xf>
    <xf numFmtId="0" fontId="16" fillId="0" borderId="2" xfId="0" applyFont="1" applyBorder="1" applyAlignment="1">
      <alignment horizontal="center" vertical="center" wrapText="1"/>
    </xf>
    <xf numFmtId="0" fontId="16" fillId="0" borderId="0" xfId="0" applyFont="1" applyAlignment="1">
      <alignment horizontal="center" vertical="center" wrapText="1"/>
    </xf>
    <xf numFmtId="0" fontId="16" fillId="0" borderId="3" xfId="0" applyFont="1" applyBorder="1" applyAlignment="1">
      <alignment horizontal="center" vertical="center" wrapText="1"/>
    </xf>
    <xf numFmtId="0" fontId="16" fillId="0" borderId="4" xfId="0" applyFont="1" applyBorder="1" applyAlignment="1">
      <alignment horizontal="center" vertical="center" wrapText="1"/>
    </xf>
    <xf numFmtId="0" fontId="16" fillId="0" borderId="18" xfId="0" applyFont="1" applyBorder="1" applyAlignment="1">
      <alignment horizontal="center" vertical="center" wrapText="1"/>
    </xf>
    <xf numFmtId="0" fontId="16" fillId="0" borderId="5" xfId="0" applyFont="1" applyBorder="1" applyAlignment="1">
      <alignment horizontal="center" vertical="center" wrapText="1"/>
    </xf>
    <xf numFmtId="0" fontId="30" fillId="0" borderId="19" xfId="0" applyFont="1" applyBorder="1" applyAlignment="1" applyProtection="1">
      <alignment horizontal="center" vertical="center"/>
      <protection hidden="1"/>
    </xf>
    <xf numFmtId="0" fontId="30" fillId="0" borderId="17" xfId="0" applyFont="1" applyBorder="1" applyAlignment="1" applyProtection="1">
      <alignment horizontal="center" vertical="center"/>
      <protection hidden="1"/>
    </xf>
    <xf numFmtId="0" fontId="30" fillId="0" borderId="8" xfId="0" applyFont="1" applyBorder="1" applyAlignment="1" applyProtection="1">
      <alignment horizontal="center" vertical="center"/>
      <protection hidden="1"/>
    </xf>
    <xf numFmtId="0" fontId="30" fillId="0" borderId="9" xfId="0" applyFont="1" applyBorder="1" applyAlignment="1" applyProtection="1">
      <alignment horizontal="center" vertical="center"/>
      <protection hidden="1"/>
    </xf>
    <xf numFmtId="0" fontId="11" fillId="0" borderId="0" xfId="0" applyFont="1" applyAlignment="1" applyProtection="1">
      <alignment horizontal="left" vertical="center"/>
      <protection hidden="1"/>
    </xf>
    <xf numFmtId="0" fontId="0" fillId="0" borderId="8" xfId="0" applyBorder="1" applyAlignment="1" applyProtection="1">
      <alignment horizontal="center"/>
      <protection hidden="1"/>
    </xf>
    <xf numFmtId="0" fontId="0" fillId="0" borderId="9" xfId="0" applyBorder="1" applyAlignment="1" applyProtection="1">
      <alignment horizontal="center"/>
      <protection hidden="1"/>
    </xf>
    <xf numFmtId="0" fontId="17" fillId="0" borderId="8" xfId="0" applyFont="1" applyBorder="1" applyAlignment="1" applyProtection="1">
      <alignment horizontal="center" vertical="center"/>
      <protection hidden="1"/>
    </xf>
    <xf numFmtId="0" fontId="17" fillId="0" borderId="26" xfId="0" applyFont="1" applyBorder="1" applyAlignment="1" applyProtection="1">
      <alignment horizontal="center" vertical="center"/>
      <protection hidden="1"/>
    </xf>
    <xf numFmtId="0" fontId="17" fillId="0" borderId="9" xfId="0" applyFont="1" applyBorder="1" applyAlignment="1" applyProtection="1">
      <alignment horizontal="center" vertical="center"/>
      <protection hidden="1"/>
    </xf>
    <xf numFmtId="0" fontId="24" fillId="0" borderId="19" xfId="0" applyFont="1" applyBorder="1" applyAlignment="1" applyProtection="1">
      <alignment horizontal="center" vertical="center" wrapText="1"/>
      <protection hidden="1"/>
    </xf>
    <xf numFmtId="0" fontId="24" fillId="0" borderId="17" xfId="0" applyFont="1" applyBorder="1" applyAlignment="1" applyProtection="1">
      <alignment horizontal="center" vertical="center" wrapText="1"/>
      <protection hidden="1"/>
    </xf>
    <xf numFmtId="0" fontId="24" fillId="0" borderId="4" xfId="0" applyFont="1" applyBorder="1" applyAlignment="1" applyProtection="1">
      <alignment horizontal="center" vertical="center" wrapText="1"/>
      <protection hidden="1"/>
    </xf>
    <xf numFmtId="0" fontId="24" fillId="0" borderId="5" xfId="0" applyFont="1" applyBorder="1" applyAlignment="1" applyProtection="1">
      <alignment horizontal="center" vertical="center" wrapText="1"/>
      <protection hidden="1"/>
    </xf>
    <xf numFmtId="0" fontId="24" fillId="0" borderId="20" xfId="0" applyFont="1" applyBorder="1" applyAlignment="1" applyProtection="1">
      <alignment horizontal="center" vertical="center" wrapText="1"/>
      <protection hidden="1"/>
    </xf>
    <xf numFmtId="0" fontId="24" fillId="0" borderId="22" xfId="0" applyFont="1" applyBorder="1" applyAlignment="1" applyProtection="1">
      <alignment horizontal="center" vertical="center" wrapText="1"/>
      <protection hidden="1"/>
    </xf>
    <xf numFmtId="0" fontId="0" fillId="0" borderId="19" xfId="0" applyBorder="1" applyAlignment="1" applyProtection="1">
      <alignment horizontal="center" vertical="center"/>
      <protection hidden="1"/>
    </xf>
    <xf numFmtId="0" fontId="0" fillId="0" borderId="16" xfId="0" applyBorder="1" applyAlignment="1" applyProtection="1">
      <alignment horizontal="center" vertical="center"/>
      <protection hidden="1"/>
    </xf>
    <xf numFmtId="0" fontId="0" fillId="0" borderId="26" xfId="0" applyBorder="1" applyAlignment="1" applyProtection="1">
      <alignment horizontal="center" vertical="center"/>
      <protection hidden="1"/>
    </xf>
    <xf numFmtId="0" fontId="0" fillId="0" borderId="9" xfId="0" applyBorder="1" applyAlignment="1" applyProtection="1">
      <alignment horizontal="center" vertical="center"/>
      <protection hidden="1"/>
    </xf>
    <xf numFmtId="0" fontId="0" fillId="0" borderId="8" xfId="0" applyBorder="1" applyAlignment="1" applyProtection="1">
      <alignment horizontal="center" vertical="center"/>
      <protection hidden="1"/>
    </xf>
    <xf numFmtId="0" fontId="24" fillId="0" borderId="21" xfId="0" applyFont="1" applyBorder="1" applyAlignment="1" applyProtection="1">
      <alignment horizontal="center" vertical="center" wrapText="1"/>
      <protection hidden="1"/>
    </xf>
    <xf numFmtId="0" fontId="24" fillId="0" borderId="20" xfId="0" applyFont="1" applyBorder="1" applyAlignment="1" applyProtection="1">
      <alignment horizontal="center" vertical="center"/>
      <protection hidden="1"/>
    </xf>
    <xf numFmtId="0" fontId="24" fillId="0" borderId="22" xfId="0" applyFont="1" applyBorder="1" applyAlignment="1" applyProtection="1">
      <alignment horizontal="center" vertical="center"/>
      <protection hidden="1"/>
    </xf>
    <xf numFmtId="0" fontId="0" fillId="0" borderId="47" xfId="0" applyBorder="1" applyAlignment="1" applyProtection="1">
      <alignment horizontal="center" vertical="center"/>
      <protection hidden="1"/>
    </xf>
    <xf numFmtId="0" fontId="0" fillId="0" borderId="62" xfId="0" applyBorder="1" applyAlignment="1" applyProtection="1">
      <alignment horizontal="center" vertical="center"/>
      <protection hidden="1"/>
    </xf>
    <xf numFmtId="0" fontId="14" fillId="0" borderId="8" xfId="0" applyFont="1" applyBorder="1" applyAlignment="1" applyProtection="1">
      <alignment horizontal="center" vertical="center" wrapText="1"/>
      <protection hidden="1"/>
    </xf>
    <xf numFmtId="0" fontId="14" fillId="0" borderId="9" xfId="0" applyFont="1" applyBorder="1" applyAlignment="1" applyProtection="1">
      <alignment horizontal="center" vertical="center" wrapText="1"/>
      <protection hidden="1"/>
    </xf>
    <xf numFmtId="0" fontId="18" fillId="0" borderId="16" xfId="0" applyFont="1" applyBorder="1" applyAlignment="1" applyProtection="1">
      <alignment horizontal="center" vertical="center"/>
      <protection hidden="1"/>
    </xf>
    <xf numFmtId="0" fontId="18" fillId="0" borderId="17" xfId="0" applyFont="1" applyBorder="1" applyAlignment="1" applyProtection="1">
      <alignment horizontal="center" vertical="center"/>
      <protection hidden="1"/>
    </xf>
    <xf numFmtId="0" fontId="18" fillId="0" borderId="2" xfId="0" applyFont="1" applyBorder="1" applyAlignment="1" applyProtection="1">
      <alignment horizontal="center" vertical="center"/>
      <protection hidden="1"/>
    </xf>
    <xf numFmtId="0" fontId="18" fillId="0" borderId="0" xfId="0" applyFont="1" applyAlignment="1" applyProtection="1">
      <alignment horizontal="center" vertical="center"/>
      <protection hidden="1"/>
    </xf>
    <xf numFmtId="0" fontId="18" fillId="0" borderId="3" xfId="0" applyFont="1" applyBorder="1" applyAlignment="1" applyProtection="1">
      <alignment horizontal="center" vertical="center"/>
      <protection hidden="1"/>
    </xf>
    <xf numFmtId="0" fontId="18" fillId="0" borderId="4" xfId="0" applyFont="1" applyBorder="1" applyAlignment="1" applyProtection="1">
      <alignment horizontal="center" vertical="center"/>
      <protection hidden="1"/>
    </xf>
    <xf numFmtId="0" fontId="18" fillId="0" borderId="18" xfId="0" applyFont="1" applyBorder="1" applyAlignment="1" applyProtection="1">
      <alignment horizontal="center" vertical="center"/>
      <protection hidden="1"/>
    </xf>
    <xf numFmtId="0" fontId="18" fillId="0" borderId="5" xfId="0" applyFont="1" applyBorder="1" applyAlignment="1" applyProtection="1">
      <alignment horizontal="center" vertical="center"/>
      <protection hidden="1"/>
    </xf>
    <xf numFmtId="0" fontId="33" fillId="0" borderId="19" xfId="0" applyFont="1" applyBorder="1" applyAlignment="1" applyProtection="1">
      <alignment horizontal="center" vertical="center"/>
      <protection locked="0" hidden="1"/>
    </xf>
    <xf numFmtId="0" fontId="33" fillId="0" borderId="16" xfId="0" applyFont="1" applyBorder="1" applyAlignment="1" applyProtection="1">
      <alignment horizontal="center" vertical="center"/>
      <protection locked="0" hidden="1"/>
    </xf>
    <xf numFmtId="0" fontId="33" fillId="0" borderId="17" xfId="0" applyFont="1" applyBorder="1" applyAlignment="1" applyProtection="1">
      <alignment horizontal="center" vertical="center"/>
      <protection locked="0" hidden="1"/>
    </xf>
    <xf numFmtId="0" fontId="33" fillId="0" borderId="2" xfId="0" applyFont="1" applyBorder="1" applyAlignment="1" applyProtection="1">
      <alignment horizontal="center" vertical="center"/>
      <protection locked="0" hidden="1"/>
    </xf>
    <xf numFmtId="0" fontId="33" fillId="0" borderId="0" xfId="0" applyFont="1" applyAlignment="1" applyProtection="1">
      <alignment horizontal="center" vertical="center"/>
      <protection locked="0" hidden="1"/>
    </xf>
    <xf numFmtId="0" fontId="33" fillId="0" borderId="3" xfId="0" applyFont="1" applyBorder="1" applyAlignment="1" applyProtection="1">
      <alignment horizontal="center" vertical="center"/>
      <protection locked="0" hidden="1"/>
    </xf>
    <xf numFmtId="0" fontId="33" fillId="0" borderId="4" xfId="0" applyFont="1" applyBorder="1" applyAlignment="1" applyProtection="1">
      <alignment horizontal="center" vertical="center"/>
      <protection locked="0" hidden="1"/>
    </xf>
    <xf numFmtId="0" fontId="33" fillId="0" borderId="18" xfId="0" applyFont="1" applyBorder="1" applyAlignment="1" applyProtection="1">
      <alignment horizontal="center" vertical="center"/>
      <protection locked="0" hidden="1"/>
    </xf>
    <xf numFmtId="0" fontId="33" fillId="0" borderId="5" xfId="0" applyFont="1" applyBorder="1" applyAlignment="1" applyProtection="1">
      <alignment horizontal="center" vertical="center"/>
      <protection locked="0" hidden="1"/>
    </xf>
    <xf numFmtId="0" fontId="22" fillId="0" borderId="26" xfId="0" applyFont="1" applyBorder="1" applyAlignment="1" applyProtection="1">
      <alignment horizontal="center"/>
      <protection hidden="1"/>
    </xf>
    <xf numFmtId="0" fontId="22" fillId="0" borderId="9" xfId="0" applyFont="1" applyBorder="1" applyAlignment="1" applyProtection="1">
      <alignment horizontal="center"/>
      <protection hidden="1"/>
    </xf>
    <xf numFmtId="0" fontId="22" fillId="0" borderId="8" xfId="0" applyFont="1" applyBorder="1" applyAlignment="1" applyProtection="1">
      <alignment horizontal="center"/>
      <protection hidden="1"/>
    </xf>
    <xf numFmtId="0" fontId="13" fillId="0" borderId="8" xfId="0" applyFont="1" applyBorder="1" applyAlignment="1" applyProtection="1">
      <alignment horizontal="left" vertical="center"/>
      <protection hidden="1"/>
    </xf>
    <xf numFmtId="0" fontId="13" fillId="0" borderId="26" xfId="0" applyFont="1" applyBorder="1" applyAlignment="1" applyProtection="1">
      <alignment horizontal="left" vertical="center"/>
      <protection hidden="1"/>
    </xf>
    <xf numFmtId="0" fontId="35" fillId="0" borderId="2" xfId="0" applyFont="1" applyBorder="1" applyAlignment="1" applyProtection="1">
      <alignment horizontal="right" vertical="center"/>
      <protection locked="0" hidden="1"/>
    </xf>
    <xf numFmtId="0" fontId="35" fillId="0" borderId="0" xfId="0" applyFont="1" applyAlignment="1" applyProtection="1">
      <alignment horizontal="right" vertical="center"/>
      <protection locked="0" hidden="1"/>
    </xf>
    <xf numFmtId="0" fontId="34" fillId="0" borderId="8" xfId="0" applyFont="1" applyBorder="1" applyAlignment="1" applyProtection="1">
      <alignment horizontal="left" vertical="center"/>
      <protection locked="0" hidden="1"/>
    </xf>
    <xf numFmtId="0" fontId="34" fillId="0" borderId="26" xfId="0" applyFont="1" applyBorder="1" applyAlignment="1" applyProtection="1">
      <alignment horizontal="left" vertical="center"/>
      <protection locked="0" hidden="1"/>
    </xf>
    <xf numFmtId="0" fontId="22" fillId="0" borderId="4" xfId="0" applyFont="1" applyBorder="1" applyAlignment="1" applyProtection="1">
      <alignment horizontal="center"/>
      <protection hidden="1"/>
    </xf>
    <xf numFmtId="0" fontId="22" fillId="0" borderId="5" xfId="0" applyFont="1" applyBorder="1" applyAlignment="1" applyProtection="1">
      <alignment horizontal="center"/>
      <protection hidden="1"/>
    </xf>
    <xf numFmtId="0" fontId="6" fillId="0" borderId="44" xfId="0" applyFont="1" applyBorder="1" applyAlignment="1" applyProtection="1">
      <alignment horizontal="left"/>
      <protection locked="0"/>
    </xf>
    <xf numFmtId="0" fontId="6" fillId="0" borderId="66" xfId="0" applyFont="1" applyBorder="1" applyAlignment="1" applyProtection="1">
      <alignment horizontal="left"/>
      <protection locked="0"/>
    </xf>
    <xf numFmtId="0" fontId="7" fillId="0" borderId="41" xfId="3" applyNumberFormat="1" applyFont="1" applyBorder="1" applyAlignment="1" applyProtection="1">
      <alignment horizontal="left" vertical="center" wrapText="1"/>
      <protection locked="0"/>
    </xf>
    <xf numFmtId="0" fontId="7" fillId="0" borderId="42" xfId="3" applyNumberFormat="1" applyFont="1" applyBorder="1" applyAlignment="1" applyProtection="1">
      <alignment horizontal="left" vertical="center" wrapText="1"/>
      <protection locked="0"/>
    </xf>
    <xf numFmtId="0" fontId="7" fillId="0" borderId="37" xfId="3" applyNumberFormat="1" applyFont="1" applyBorder="1" applyAlignment="1" applyProtection="1">
      <alignment horizontal="left" vertical="center" wrapText="1"/>
      <protection locked="0"/>
    </xf>
    <xf numFmtId="0" fontId="7" fillId="0" borderId="38" xfId="3" applyNumberFormat="1" applyFont="1" applyBorder="1" applyAlignment="1" applyProtection="1">
      <alignment horizontal="left" vertical="center" wrapText="1"/>
      <protection locked="0"/>
    </xf>
    <xf numFmtId="0" fontId="2" fillId="19" borderId="8" xfId="0" applyFont="1" applyFill="1" applyBorder="1" applyAlignment="1">
      <alignment horizontal="center"/>
    </xf>
    <xf numFmtId="0" fontId="2" fillId="19" borderId="26" xfId="0" applyFont="1" applyFill="1" applyBorder="1" applyAlignment="1">
      <alignment horizontal="center"/>
    </xf>
    <xf numFmtId="0" fontId="2" fillId="19" borderId="9" xfId="0" applyFont="1" applyFill="1" applyBorder="1" applyAlignment="1">
      <alignment horizontal="center"/>
    </xf>
    <xf numFmtId="0" fontId="2" fillId="10" borderId="10" xfId="0" applyFont="1" applyFill="1" applyBorder="1" applyAlignment="1">
      <alignment horizontal="center" vertical="center"/>
    </xf>
    <xf numFmtId="0" fontId="2" fillId="10" borderId="27" xfId="0" applyFont="1" applyFill="1" applyBorder="1" applyAlignment="1">
      <alignment horizontal="center" vertical="center"/>
    </xf>
    <xf numFmtId="0" fontId="2" fillId="10" borderId="39"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27" xfId="0" applyFont="1" applyFill="1" applyBorder="1" applyAlignment="1">
      <alignment horizontal="center" vertical="center"/>
    </xf>
    <xf numFmtId="0" fontId="2" fillId="2" borderId="39" xfId="0" applyFont="1" applyFill="1" applyBorder="1" applyAlignment="1">
      <alignment horizontal="center" vertical="center"/>
    </xf>
    <xf numFmtId="0" fontId="2" fillId="13" borderId="8" xfId="0" applyFont="1" applyFill="1" applyBorder="1" applyAlignment="1">
      <alignment horizontal="center" vertical="center"/>
    </xf>
    <xf numFmtId="0" fontId="2" fillId="13" borderId="26" xfId="0" applyFont="1" applyFill="1" applyBorder="1" applyAlignment="1">
      <alignment horizontal="center" vertical="center"/>
    </xf>
    <xf numFmtId="0" fontId="2" fillId="13" borderId="9" xfId="0" applyFont="1" applyFill="1" applyBorder="1" applyAlignment="1">
      <alignment horizontal="center" vertical="center"/>
    </xf>
    <xf numFmtId="0" fontId="2" fillId="8" borderId="2" xfId="0" applyFont="1" applyFill="1" applyBorder="1" applyAlignment="1">
      <alignment horizontal="center" vertical="center"/>
    </xf>
    <xf numFmtId="0" fontId="2" fillId="8" borderId="4" xfId="0" applyFont="1" applyFill="1" applyBorder="1" applyAlignment="1">
      <alignment horizontal="center" vertical="center"/>
    </xf>
    <xf numFmtId="0" fontId="6" fillId="18" borderId="8" xfId="0" applyFont="1" applyFill="1" applyBorder="1" applyAlignment="1">
      <alignment horizontal="center" vertical="center"/>
    </xf>
    <xf numFmtId="0" fontId="6" fillId="18" borderId="26" xfId="0" applyFont="1" applyFill="1" applyBorder="1" applyAlignment="1">
      <alignment horizontal="center" vertical="center"/>
    </xf>
    <xf numFmtId="0" fontId="6" fillId="18" borderId="9" xfId="0" applyFont="1" applyFill="1" applyBorder="1" applyAlignment="1">
      <alignment horizontal="center" vertical="center"/>
    </xf>
    <xf numFmtId="0" fontId="0" fillId="26" borderId="59" xfId="0" applyFill="1" applyBorder="1" applyAlignment="1">
      <alignment horizontal="center" vertical="center" wrapText="1"/>
    </xf>
    <xf numFmtId="0" fontId="0" fillId="26" borderId="60" xfId="0" applyFill="1" applyBorder="1" applyAlignment="1">
      <alignment horizontal="center" vertical="center" wrapText="1"/>
    </xf>
    <xf numFmtId="0" fontId="0" fillId="23" borderId="61" xfId="0" applyFill="1" applyBorder="1" applyAlignment="1">
      <alignment horizontal="center" vertical="center" wrapText="1"/>
    </xf>
    <xf numFmtId="0" fontId="0" fillId="23" borderId="62" xfId="0" applyFill="1" applyBorder="1" applyAlignment="1">
      <alignment horizontal="center" vertical="center" wrapText="1"/>
    </xf>
    <xf numFmtId="0" fontId="0" fillId="25" borderId="61" xfId="0" applyFill="1" applyBorder="1" applyAlignment="1">
      <alignment horizontal="center" vertical="center" wrapText="1"/>
    </xf>
    <xf numFmtId="0" fontId="0" fillId="25" borderId="62" xfId="0" applyFill="1" applyBorder="1" applyAlignment="1">
      <alignment horizontal="center" vertical="center" wrapText="1"/>
    </xf>
    <xf numFmtId="0" fontId="0" fillId="24" borderId="61" xfId="0" applyFill="1" applyBorder="1" applyAlignment="1">
      <alignment horizontal="center" vertical="center" wrapText="1"/>
    </xf>
    <xf numFmtId="0" fontId="0" fillId="24" borderId="62" xfId="0" applyFill="1" applyBorder="1" applyAlignment="1">
      <alignment horizontal="center" vertical="center" wrapText="1"/>
    </xf>
    <xf numFmtId="0" fontId="19" fillId="0" borderId="20" xfId="0" applyFont="1" applyBorder="1" applyAlignment="1">
      <alignment horizontal="center" vertical="center" wrapText="1"/>
    </xf>
    <xf numFmtId="0" fontId="19" fillId="0" borderId="22" xfId="0" applyFont="1" applyBorder="1" applyAlignment="1">
      <alignment horizontal="center" vertical="center" wrapText="1"/>
    </xf>
  </cellXfs>
  <cellStyles count="9">
    <cellStyle name="40% - Accent1" xfId="8" builtinId="31"/>
    <cellStyle name="Accent3" xfId="5" builtinId="37"/>
    <cellStyle name="Accent4" xfId="6" builtinId="41"/>
    <cellStyle name="Accent6" xfId="7" builtinId="49"/>
    <cellStyle name="Comma" xfId="1" builtinId="3"/>
    <cellStyle name="Currency" xfId="3" builtinId="4"/>
    <cellStyle name="Neutral" xfId="4" builtinId="28"/>
    <cellStyle name="Normal" xfId="0" builtinId="0"/>
    <cellStyle name="Per cent" xfId="2" builtinId="5"/>
  </cellStyles>
  <dxfs count="122">
    <dxf>
      <fill>
        <patternFill>
          <bgColor rgb="FF00B050"/>
        </patternFill>
      </fill>
    </dxf>
    <dxf>
      <fill>
        <patternFill>
          <bgColor rgb="FF00B050"/>
        </patternFill>
      </fill>
    </dxf>
    <dxf>
      <fill>
        <patternFill>
          <bgColor rgb="FF00B050"/>
        </patternFill>
      </fill>
    </dxf>
    <dxf>
      <fill>
        <patternFill>
          <bgColor rgb="FF00B050"/>
        </patternFill>
      </fill>
    </dxf>
    <dxf>
      <font>
        <color theme="2"/>
      </font>
      <fill>
        <patternFill>
          <bgColor theme="2"/>
        </patternFill>
      </fill>
    </dxf>
    <dxf>
      <fill>
        <patternFill>
          <bgColor theme="2"/>
        </patternFill>
      </fill>
    </dxf>
    <dxf>
      <font>
        <color theme="2"/>
      </font>
      <fill>
        <patternFill>
          <bgColor theme="2"/>
        </patternFill>
      </fill>
    </dxf>
    <dxf>
      <font>
        <color theme="2"/>
      </font>
      <fill>
        <patternFill>
          <bgColor theme="2"/>
        </patternFill>
      </fill>
    </dxf>
    <dxf>
      <fill>
        <patternFill>
          <bgColor theme="2"/>
        </patternFill>
      </fill>
    </dxf>
    <dxf>
      <numFmt numFmtId="30" formatCode="@"/>
    </dxf>
    <dxf>
      <numFmt numFmtId="30" formatCode="@"/>
      <fill>
        <patternFill>
          <bgColor theme="0"/>
        </patternFill>
      </fill>
    </dxf>
    <dxf>
      <font>
        <color theme="2"/>
      </font>
      <fill>
        <patternFill>
          <bgColor theme="2"/>
        </patternFill>
      </fill>
    </dxf>
    <dxf>
      <font>
        <color theme="0"/>
      </font>
      <fill>
        <patternFill>
          <bgColor theme="0"/>
        </patternFill>
      </fill>
    </dxf>
    <dxf>
      <font>
        <color theme="0"/>
      </font>
      <fill>
        <patternFill>
          <bgColor theme="0"/>
        </patternFill>
      </fill>
    </dxf>
    <dxf>
      <fill>
        <patternFill patternType="solid">
          <fgColor indexed="64"/>
          <bgColor theme="7" tint="0.79998168889431442"/>
        </patternFill>
      </fill>
      <border diagonalUp="0" diagonalDown="0">
        <left style="thin">
          <color indexed="64"/>
        </left>
        <right style="thin">
          <color indexed="64"/>
        </right>
        <top/>
        <bottom/>
      </border>
    </dxf>
    <dxf>
      <fill>
        <patternFill patternType="solid">
          <fgColor indexed="64"/>
          <bgColor theme="8" tint="0.79998168889431442"/>
        </patternFill>
      </fill>
      <protection locked="0" hidden="0"/>
    </dxf>
    <dxf>
      <fill>
        <patternFill patternType="solid">
          <fgColor indexed="64"/>
          <bgColor theme="7" tint="0.79998168889431442"/>
        </patternFill>
      </fill>
      <border diagonalUp="0" diagonalDown="0">
        <left style="thin">
          <color indexed="64"/>
        </left>
        <right style="thin">
          <color indexed="64"/>
        </right>
        <top/>
        <bottom/>
      </border>
    </dxf>
    <dxf>
      <fill>
        <patternFill patternType="solid">
          <fgColor indexed="64"/>
          <bgColor theme="8" tint="0.79998168889431442"/>
        </patternFill>
      </fill>
      <protection locked="0" hidden="0"/>
    </dxf>
    <dxf>
      <fill>
        <patternFill patternType="solid">
          <fgColor indexed="64"/>
          <bgColor theme="7" tint="0.79998168889431442"/>
        </patternFill>
      </fill>
      <border diagonalUp="0" diagonalDown="0">
        <left style="thin">
          <color indexed="64"/>
        </left>
        <right style="thin">
          <color indexed="64"/>
        </right>
        <top/>
        <bottom/>
      </border>
    </dxf>
    <dxf>
      <numFmt numFmtId="0" formatCode="General"/>
      <fill>
        <patternFill patternType="solid">
          <fgColor indexed="64"/>
          <bgColor theme="8" tint="0.79998168889431442"/>
        </patternFill>
      </fill>
      <protection locked="0" hidden="0"/>
    </dxf>
    <dxf>
      <fill>
        <patternFill patternType="solid">
          <fgColor indexed="64"/>
          <bgColor theme="7" tint="0.79998168889431442"/>
        </patternFill>
      </fill>
      <border diagonalUp="0" diagonalDown="0">
        <left style="thin">
          <color indexed="64"/>
        </left>
        <right style="thin">
          <color indexed="64"/>
        </right>
        <top/>
        <bottom/>
      </border>
    </dxf>
    <dxf>
      <fill>
        <patternFill patternType="solid">
          <fgColor indexed="64"/>
          <bgColor theme="8" tint="0.79998168889431442"/>
        </patternFill>
      </fill>
      <protection locked="0" hidden="0"/>
    </dxf>
    <dxf>
      <fill>
        <patternFill patternType="solid">
          <fgColor indexed="64"/>
          <bgColor theme="7" tint="0.79998168889431442"/>
        </patternFill>
      </fill>
      <border diagonalUp="0" diagonalDown="0">
        <left style="thin">
          <color indexed="64"/>
        </left>
        <right style="thin">
          <color indexed="64"/>
        </right>
        <top/>
        <bottom/>
      </border>
    </dxf>
    <dxf>
      <fill>
        <patternFill patternType="solid">
          <fgColor indexed="64"/>
          <bgColor theme="8" tint="0.79998168889431442"/>
        </patternFill>
      </fill>
      <protection locked="0" hidden="0"/>
    </dxf>
    <dxf>
      <fill>
        <patternFill patternType="solid">
          <fgColor indexed="64"/>
          <bgColor theme="7" tint="0.79998168889431442"/>
        </patternFill>
      </fill>
      <border diagonalUp="0" diagonalDown="0">
        <left style="thin">
          <color indexed="64"/>
        </left>
        <right style="thin">
          <color indexed="64"/>
        </right>
        <top/>
        <bottom/>
      </border>
    </dxf>
    <dxf>
      <fill>
        <patternFill patternType="solid">
          <fgColor indexed="64"/>
          <bgColor theme="8" tint="0.79998168889431442"/>
        </patternFill>
      </fill>
      <protection locked="0" hidden="0"/>
    </dxf>
    <dxf>
      <fill>
        <patternFill patternType="solid">
          <fgColor indexed="64"/>
          <bgColor theme="7" tint="0.79998168889431442"/>
        </patternFill>
      </fill>
      <border diagonalUp="0" diagonalDown="0">
        <left style="thin">
          <color indexed="64"/>
        </left>
        <right style="thin">
          <color indexed="64"/>
        </right>
        <top/>
        <bottom/>
      </border>
    </dxf>
    <dxf>
      <numFmt numFmtId="19" formatCode="dd/mm/yyyy"/>
      <fill>
        <patternFill patternType="solid">
          <fgColor indexed="64"/>
          <bgColor theme="8" tint="0.79998168889431442"/>
        </patternFill>
      </fill>
      <protection locked="0" hidden="0"/>
    </dxf>
    <dxf>
      <protection locked="0" hidden="0"/>
    </dxf>
    <dxf>
      <numFmt numFmtId="14" formatCode="0.0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65" formatCode="0.0%"/>
      <protection locked="0" hidden="0"/>
    </dxf>
    <dxf>
      <protection locked="0" hidden="0"/>
    </dxf>
    <dxf>
      <protection locked="0" hidden="0"/>
    </dxf>
    <dxf>
      <protection locked="0" hidden="0"/>
    </dxf>
    <dxf>
      <protection locked="0" hidden="0"/>
    </dxf>
    <dxf>
      <protection locked="0" hidden="0"/>
    </dxf>
    <dxf>
      <numFmt numFmtId="165" formatCode="0.0%"/>
      <protection locked="0" hidden="0"/>
    </dxf>
    <dxf>
      <protection locked="0" hidden="0"/>
    </dxf>
    <dxf>
      <protection locked="0" hidden="0"/>
    </dxf>
    <dxf>
      <numFmt numFmtId="165" formatCode="0.0%"/>
      <protection locked="0" hidden="0"/>
    </dxf>
    <dxf>
      <protection locked="0" hidden="0"/>
    </dxf>
    <dxf>
      <protection locked="0" hidden="0"/>
    </dxf>
    <dxf>
      <protection locked="0" hidden="0"/>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protection locked="0" hidden="0"/>
    </dxf>
    <dxf>
      <protection locked="1" hidden="0"/>
    </dxf>
    <dxf>
      <fill>
        <patternFill>
          <bgColor theme="2"/>
        </patternFill>
      </fill>
    </dxf>
    <dxf>
      <numFmt numFmtId="30" formatCode="@"/>
    </dxf>
    <dxf>
      <numFmt numFmtId="30" formatCode="@"/>
      <fill>
        <patternFill>
          <bgColor theme="0"/>
        </patternFill>
      </fill>
    </dxf>
    <dxf>
      <font>
        <color theme="2"/>
      </font>
      <fill>
        <patternFill>
          <bgColor theme="2"/>
        </patternFill>
      </fill>
    </dxf>
    <dxf>
      <fill>
        <patternFill>
          <bgColor theme="2"/>
        </patternFill>
      </fill>
    </dxf>
    <dxf>
      <numFmt numFmtId="30" formatCode="@"/>
    </dxf>
    <dxf>
      <numFmt numFmtId="30" formatCode="@"/>
      <fill>
        <patternFill>
          <bgColor theme="0"/>
        </patternFill>
      </fill>
    </dxf>
    <dxf>
      <font>
        <color theme="2"/>
      </font>
      <fill>
        <patternFill>
          <bgColor theme="2"/>
        </patternFill>
      </fill>
    </dxf>
    <dxf>
      <font>
        <sz val="8"/>
        <color rgb="FF000000"/>
        <name val="Tahoma"/>
        <family val="2"/>
        <scheme val="none"/>
      </font>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sz val="8"/>
        <color rgb="FF000000"/>
        <name val="Tahoma"/>
        <family val="2"/>
        <scheme val="none"/>
      </font>
      <alignment horizontal="center"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top style="hair">
          <color rgb="FF000000"/>
        </top>
      </border>
    </dxf>
    <dxf>
      <border outline="0">
        <bottom style="hair">
          <color rgb="FF000000"/>
        </bottom>
      </border>
    </dxf>
    <dxf>
      <font>
        <b/>
        <i val="0"/>
        <strike val="0"/>
        <condense val="0"/>
        <extend val="0"/>
        <outline val="0"/>
        <shadow val="0"/>
        <u val="none"/>
        <vertAlign val="baseline"/>
        <sz val="8"/>
        <color rgb="FF000000"/>
        <name val="Tahoma"/>
        <family val="2"/>
        <scheme val="none"/>
      </font>
      <alignment horizontal="center" vertical="center" textRotation="0" wrapText="1" indent="0" justifyLastLine="0" shrinkToFit="0" readingOrder="0"/>
      <border diagonalUp="0" diagonalDown="0" outline="0">
        <left style="hair">
          <color rgb="FF000000"/>
        </left>
        <right style="hair">
          <color rgb="FF000000"/>
        </right>
        <top/>
        <bottom/>
      </border>
    </dxf>
    <dxf>
      <alignment horizontal="center" vertical="center" textRotation="0" indent="0" justifyLastLine="0" shrinkToFit="0" readingOrder="0"/>
    </dxf>
    <dxf>
      <font>
        <strike val="0"/>
        <outline val="0"/>
        <shadow val="0"/>
        <u val="none"/>
        <vertAlign val="baseline"/>
        <sz val="7"/>
      </font>
      <alignment horizontal="center" vertical="center" textRotation="0" wrapText="0" indent="0" justifyLastLine="0" shrinkToFit="0" readingOrder="0"/>
      <border diagonalUp="0" diagonalDown="0">
        <left/>
        <right style="thin">
          <color indexed="64"/>
        </right>
        <top style="thin">
          <color indexed="64"/>
        </top>
        <bottom style="thin">
          <color indexed="64"/>
        </bottom>
      </border>
    </dxf>
    <dxf>
      <border outline="0">
        <top style="hair">
          <color rgb="FF000000"/>
        </top>
      </border>
    </dxf>
    <dxf>
      <alignment horizontal="center" vertical="center" textRotation="0" indent="0" justifyLastLine="0" shrinkToFit="0" readingOrder="0"/>
    </dxf>
    <dxf>
      <border>
        <bottom style="thin">
          <color indexed="64"/>
        </bottom>
      </border>
    </dxf>
    <dxf>
      <font>
        <b val="0"/>
        <i val="0"/>
        <strike val="0"/>
        <condense val="0"/>
        <extend val="0"/>
        <outline val="0"/>
        <shadow val="0"/>
        <u val="none"/>
        <vertAlign val="baseline"/>
        <sz val="8"/>
        <color rgb="FF000000"/>
        <name val="Tahoma"/>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theme="0"/>
      </font>
      <fill>
        <patternFill>
          <bgColor theme="0"/>
        </patternFill>
      </fill>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medium">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tint="0.249977111117893"/>
        <name val="Calibri"/>
        <family val="2"/>
        <scheme val="minor"/>
      </font>
      <fill>
        <patternFill patternType="solid">
          <fgColor indexed="64"/>
          <bgColor theme="4" tint="0.59999389629810485"/>
        </patternFill>
      </fill>
      <alignment horizontal="center"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dxf>
    <dxf>
      <font>
        <b/>
        <i val="0"/>
        <strike val="0"/>
        <condense val="0"/>
        <extend val="0"/>
        <outline val="0"/>
        <shadow val="0"/>
        <u val="none"/>
        <vertAlign val="baseline"/>
        <sz val="11"/>
        <color theme="1" tint="0.249977111117893"/>
        <name val="Calibri"/>
        <family val="2"/>
        <scheme val="minor"/>
      </font>
      <fill>
        <patternFill patternType="solid">
          <fgColor indexed="64"/>
          <bgColor theme="4" tint="0.5999938962981048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tint="0.249977111117893"/>
        <name val="Calibri"/>
        <family val="2"/>
        <scheme val="minor"/>
      </font>
      <fill>
        <patternFill patternType="solid">
          <fgColor indexed="64"/>
          <bgColor theme="4" tint="0.59999389629810485"/>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style="medium">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tint="0.249977111117893"/>
        <name val="Calibri"/>
        <family val="2"/>
        <scheme val="minor"/>
      </font>
      <fill>
        <patternFill patternType="solid">
          <fgColor indexed="64"/>
          <bgColor theme="4" tint="0.59999389629810485"/>
        </patternFill>
      </fill>
      <alignment horizontal="center" vertical="center" textRotation="0" wrapText="1" indent="0" justifyLastLine="0" shrinkToFit="0" readingOrder="0"/>
      <border diagonalUp="0" diagonalDown="0">
        <left style="medium">
          <color indexed="64"/>
        </left>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style="medium">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tint="0.249977111117893"/>
        <name val="Calibri"/>
        <family val="2"/>
        <scheme val="minor"/>
      </font>
      <fill>
        <patternFill patternType="solid">
          <fgColor indexed="64"/>
          <bgColor theme="4" tint="0.5999938962981048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medium">
          <color indexed="64"/>
        </left>
        <right style="medium">
          <color indexed="64"/>
        </right>
        <top style="thin">
          <color indexed="64"/>
        </top>
        <bottom style="medium">
          <color indexed="64"/>
        </bottom>
      </border>
    </dxf>
    <dxf>
      <border outline="0">
        <bottom style="double">
          <color indexed="64"/>
        </bottom>
      </border>
    </dxf>
    <dxf>
      <font>
        <b/>
        <i val="0"/>
        <strike val="0"/>
        <condense val="0"/>
        <extend val="0"/>
        <outline val="0"/>
        <shadow val="0"/>
        <u val="none"/>
        <vertAlign val="baseline"/>
        <sz val="11"/>
        <color theme="1" tint="0.249977111117893"/>
        <name val="Calibri"/>
        <family val="2"/>
        <scheme val="minor"/>
      </font>
      <fill>
        <patternFill patternType="solid">
          <fgColor indexed="64"/>
          <bgColor theme="4"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color rgb="FF9C0006"/>
      </font>
      <fill>
        <patternFill>
          <bgColor rgb="FFFFC7CE"/>
        </patternFill>
      </fill>
    </dxf>
    <dxf>
      <font>
        <b/>
        <i val="0"/>
        <color rgb="FF006100"/>
      </font>
      <fill>
        <patternFill>
          <bgColor rgb="FFC6EFCE"/>
        </patternFill>
      </fill>
    </dxf>
    <dxf>
      <font>
        <b/>
        <i val="0"/>
        <color rgb="FF9C5700"/>
      </font>
      <fill>
        <patternFill>
          <bgColor rgb="FFFFEB9C"/>
        </patternFill>
      </fill>
    </dxf>
    <dxf>
      <font>
        <b/>
        <i val="0"/>
        <color rgb="FF0070C0"/>
      </font>
      <numFmt numFmtId="0" formatCode="General"/>
      <fill>
        <patternFill>
          <bgColor theme="8" tint="0.79998168889431442"/>
        </patternFill>
      </fill>
    </dxf>
  </dxfs>
  <tableStyles count="0" defaultTableStyle="TableStyleMedium2" defaultPivotStyle="PivotStyleLight16"/>
  <colors>
    <mruColors>
      <color rgb="FFCC0099"/>
      <color rgb="FFFF5050"/>
      <color rgb="FFCC99FF"/>
      <color rgb="FF9933FF"/>
      <color rgb="FFCC66FF"/>
      <color rgb="FF009999"/>
      <color rgb="FFFFCCFF"/>
      <color rgb="FFFF00FF"/>
      <color rgb="FFE47E5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0/relationships/richValueRel" Target="richData/richValueRel.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10/relationships/person" Target="persons/person.xml"/><Relationship Id="rId2" Type="http://schemas.openxmlformats.org/officeDocument/2006/relationships/worksheet" Target="worksheets/sheet2.xml"/><Relationship Id="rId16" Type="http://schemas.microsoft.com/office/2017/06/relationships/rdRichValueTypes" Target="richData/rdRichValueTyp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styles" Target="style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https://pixabay.com/es/disquete-guardar-exportaci%C3%B3n-flecha-27224/" TargetMode="External"/><Relationship Id="rId1" Type="http://schemas.openxmlformats.org/officeDocument/2006/relationships/image" Target="../media/image4.png"/><Relationship Id="rId4" Type="http://schemas.openxmlformats.org/officeDocument/2006/relationships/hyperlink" Target="https://pixabay.com/en/wipe-clean-besom-broom-brush-icon-97583/"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294336</xdr:colOff>
      <xdr:row>21</xdr:row>
      <xdr:rowOff>12730</xdr:rowOff>
    </xdr:from>
    <xdr:to>
      <xdr:col>0</xdr:col>
      <xdr:colOff>765041</xdr:colOff>
      <xdr:row>23</xdr:row>
      <xdr:rowOff>107173</xdr:rowOff>
    </xdr:to>
    <xdr:pic macro="[0]!CopyData">
      <xdr:nvPicPr>
        <xdr:cNvPr id="8" name="Picture 7">
          <a:extLst>
            <a:ext uri="{FF2B5EF4-FFF2-40B4-BE49-F238E27FC236}">
              <a16:creationId xmlns:a16="http://schemas.microsoft.com/office/drawing/2014/main" id="{0C31E129-B0FC-105C-9AC8-A7EBE15F422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294336" y="3917980"/>
          <a:ext cx="470705" cy="444420"/>
        </a:xfrm>
        <a:prstGeom prst="rect">
          <a:avLst/>
        </a:prstGeom>
        <a:ln>
          <a:noFill/>
        </a:ln>
      </xdr:spPr>
    </xdr:pic>
    <xdr:clientData/>
  </xdr:twoCellAnchor>
  <xdr:twoCellAnchor editAs="oneCell">
    <xdr:from>
      <xdr:col>0</xdr:col>
      <xdr:colOff>1273358</xdr:colOff>
      <xdr:row>21</xdr:row>
      <xdr:rowOff>47898</xdr:rowOff>
    </xdr:from>
    <xdr:to>
      <xdr:col>0</xdr:col>
      <xdr:colOff>1709568</xdr:colOff>
      <xdr:row>23</xdr:row>
      <xdr:rowOff>144780</xdr:rowOff>
    </xdr:to>
    <xdr:pic macro="[0]!Borrar">
      <xdr:nvPicPr>
        <xdr:cNvPr id="4" name="Picture 3">
          <a:extLst>
            <a:ext uri="{FF2B5EF4-FFF2-40B4-BE49-F238E27FC236}">
              <a16:creationId xmlns:a16="http://schemas.microsoft.com/office/drawing/2014/main" id="{4FA09EAA-DD9A-C8EF-D6B1-66DE8856653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1273358" y="4000773"/>
          <a:ext cx="424780" cy="43787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76200</xdr:colOff>
      <xdr:row>0</xdr:row>
      <xdr:rowOff>142875</xdr:rowOff>
    </xdr:from>
    <xdr:to>
      <xdr:col>1</xdr:col>
      <xdr:colOff>1962220</xdr:colOff>
      <xdr:row>3</xdr:row>
      <xdr:rowOff>71167</xdr:rowOff>
    </xdr:to>
    <xdr:pic>
      <xdr:nvPicPr>
        <xdr:cNvPr id="3" name="Imagen 2">
          <a:extLst>
            <a:ext uri="{FF2B5EF4-FFF2-40B4-BE49-F238E27FC236}">
              <a16:creationId xmlns:a16="http://schemas.microsoft.com/office/drawing/2014/main" id="{F3AA7719-D295-4516-A319-FC1BC9604E1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790"/>
        <a:stretch/>
      </xdr:blipFill>
      <xdr:spPr>
        <a:xfrm>
          <a:off x="228600" y="142875"/>
          <a:ext cx="1886020" cy="58551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ntonio Carrasco Muñoz" id="{960A2686-0E23-448B-BEC5-DE8A8EA6C015}" userId="S::acarrasco@fluidnatek.com::c8ccec2f-dc44-485d-9096-117832b6cb53" providerId="AD"/>
</personList>
</file>

<file path=xl/richData/_rels/richValueRel.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5</v>
  </rv>
  <rv s="0">
    <v>1</v>
    <v>5</v>
  </rv>
  <rv s="0">
    <v>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01ED1C-93A2-47CD-BDE7-1D6E35632F87}" name="Materiales" displayName="Materiales" ref="B1:C31" totalsRowShown="0" headerRowDxfId="82" dataDxfId="80" headerRowBorderDxfId="81" tableBorderDxfId="79">
  <autoFilter ref="B1:C31" xr:uid="{A901ED1C-93A2-47CD-BDE7-1D6E35632F87}"/>
  <tableColumns count="2">
    <tableColumn id="2" xr3:uid="{A5B08827-AC33-4DCF-9BD8-1A38E950618E}" name="Lista de materiales para el proyecto" dataDxfId="78"/>
    <tableColumn id="1" xr3:uid="{8623F466-142A-4138-B8A3-5D197B125C14}" name="Nº de artículo" dataDxfId="7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FED5AB-6823-4E9A-8708-1869877A3724}" name="Tabla25" displayName="Tabla25" ref="E1:F929" totalsRowShown="0" headerRowDxfId="76" headerRowBorderDxfId="75" tableBorderDxfId="74">
  <autoFilter ref="E1:F929" xr:uid="{28FED5AB-6823-4E9A-8708-1869877A3724}"/>
  <tableColumns count="2">
    <tableColumn id="2" xr3:uid="{87576BCC-68D5-4D50-8F84-9008763F2559}" name="Descripción" dataDxfId="73"/>
    <tableColumn id="3" xr3:uid="{523EFA73-F7DA-4052-BB03-25883C0C3E69}" name="Nº de artículo" dataDxfId="7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40FC6BD-9E52-48EE-9199-A1749F5262BD}" name="Formulas" displayName="Formulas" ref="A1:AN12" headerRowDxfId="63" dataDxfId="62" totalsRowDxfId="61">
  <autoFilter ref="A1:AN12" xr:uid="{E40FC6BD-9E52-48EE-9199-A1749F5262BD}"/>
  <tableColumns count="40">
    <tableColumn id="12" xr3:uid="{87EB8D72-F6D9-42BE-8599-8FDD57BE1BB9}" name="FORMULA " totalsRowLabel="Total" dataDxfId="60"/>
    <tableColumn id="40" xr3:uid="{12F5B675-9B70-42E5-A63E-58617091C900}" name="Fecha" dataDxfId="59"/>
    <tableColumn id="2" xr3:uid="{02845405-20B1-4516-956F-E5ADBE5E1152}" name="Disolvente A" dataDxfId="58"/>
    <tableColumn id="3" xr3:uid="{0B7CD27D-2167-46AE-9963-4C4DAA1599F1}" name="Porcentaje Disolvente A" dataDxfId="57"/>
    <tableColumn id="4" xr3:uid="{60AB4271-897C-4B9C-AA94-984D875271FD}" name="Ratio Disolvente A" dataDxfId="56"/>
    <tableColumn id="5" xr3:uid="{E9E92409-C6EC-492A-A50F-D770AA255CAD}" name="Disolvente B" dataDxfId="55"/>
    <tableColumn id="6" xr3:uid="{743B2949-4D69-49C9-B118-1DD2C73B2DB4}" name="Porcentaje Disolvente B" dataDxfId="54"/>
    <tableColumn id="7" xr3:uid="{AF5615AA-7A64-4380-91A8-0CCF20B224F4}" name="Ratio Disolvente B" dataDxfId="53"/>
    <tableColumn id="8" xr3:uid="{7CD647B0-E84B-47C1-AF77-B5CB1D8CB3AA}" name="Disolvente C" dataDxfId="52"/>
    <tableColumn id="9" xr3:uid="{0CFBF8E8-785A-4FE9-8C35-11A24F90BB50}" name="Porcentaje Disolvente C" dataDxfId="51"/>
    <tableColumn id="10" xr3:uid="{56DACB3A-458B-458A-86DC-E58C9D9A9828}" name="Ratio Disolvente C" dataDxfId="50"/>
    <tableColumn id="11" xr3:uid="{D18C27B1-F569-4635-A35D-BD5AD8F1F4FC}" name="Polimero A" dataDxfId="49"/>
    <tableColumn id="13" xr3:uid="{59BA38B8-DC2B-4061-B207-DF03E035CFB7}" name="Porcentaje Polimero A" dataDxfId="48"/>
    <tableColumn id="14" xr3:uid="{735FF15E-AC4C-48FB-802D-761F17A4B509}" name="Ratio Polimero A" dataDxfId="47"/>
    <tableColumn id="15" xr3:uid="{729640D1-41C2-436B-8EA9-5BD0AC9C70B8}" name="Ratio Solidos Polimero A" dataDxfId="46"/>
    <tableColumn id="16" xr3:uid="{C514F777-4B22-4AE4-A95B-2E3393FFBE21}" name="Polimero B" dataDxfId="45"/>
    <tableColumn id="17" xr3:uid="{0CFDDFA1-EA78-4DBB-90A0-77FBCD14C08D}" name="Porcentaje Polimero B" dataDxfId="44"/>
    <tableColumn id="18" xr3:uid="{3AE5D85E-D27A-42D8-9E6B-1FC7F34F5F24}" name="Ratio Polimero B" dataDxfId="43"/>
    <tableColumn id="19" xr3:uid="{CB14D6D3-6F93-4FB9-B13C-09242FC18121}" name="Ratio Solidos Polimero B" dataDxfId="42"/>
    <tableColumn id="21" xr3:uid="{E025B3DB-AC25-46AC-A8B9-CFAD02E3EEB6}" name="Polimero C" dataDxfId="41"/>
    <tableColumn id="22" xr3:uid="{51A82BC0-2E9F-4FA8-BC4A-2CC0486AA1C5}" name="Porcentaje Polimero C" dataDxfId="40"/>
    <tableColumn id="23" xr3:uid="{3C5B7C40-56B8-4641-9BC7-B555D52D231B}" name="Ratio Polimero C" dataDxfId="39"/>
    <tableColumn id="24" xr3:uid="{CB85CD39-1A35-4BED-9745-C70A36F6421C}" name="Ratio Solidos Polimero C" dataDxfId="38"/>
    <tableColumn id="25" xr3:uid="{C618A1E4-613E-41F6-B30D-E2C88AC2614F}" name="Aditivo A/ API" dataDxfId="37"/>
    <tableColumn id="27" xr3:uid="{16326260-E3C5-4764-B95C-E52E5C019420}" name="Porcentaje Aditivo A/ API" dataDxfId="36"/>
    <tableColumn id="28" xr3:uid="{A9C0C459-FED2-4040-99F0-64E511A1D6E1}" name="Ratio Solidos Aditivo A/ API" dataDxfId="35"/>
    <tableColumn id="29" xr3:uid="{15E3A6C7-82B2-4310-AFA8-58EB3309FF93}" name="Aditivo B /API" dataDxfId="34"/>
    <tableColumn id="31" xr3:uid="{3F0C17BC-9FF3-495C-92A8-818F9C14F2D5}" name="Porcentaje Aditivo B /API" dataDxfId="33"/>
    <tableColumn id="32" xr3:uid="{68F6C24B-DA66-4273-9379-9DCF347351B5}" name="Ratio Solidos Aditivo B /API" dataDxfId="32"/>
    <tableColumn id="33" xr3:uid="{25CA1869-6E1B-4B49-9F0F-51F817FE415B}" name="Aditivo C /API" dataDxfId="31"/>
    <tableColumn id="35" xr3:uid="{691D7FA7-90E4-42A7-8ED1-7310D3F5387F}" name="Porcentaje Aditivo C /API" dataDxfId="30"/>
    <tableColumn id="36" xr3:uid="{5B112EB0-0742-485D-85CB-57ED70C744BD}" name="Ratio Solidos Aditivo C /API" dataDxfId="29"/>
    <tableColumn id="37" xr3:uid="{B1DB00D5-203C-49DE-AC5F-4B3A6D8F2341}" name="Comentarios" totalsRowFunction="count" dataDxfId="28"/>
    <tableColumn id="20" xr3:uid="{777E5028-D6A5-41A7-B6D9-D95E26093C25}" name="Fecha Caracterización" dataDxfId="27" totalsRowDxfId="26"/>
    <tableColumn id="26" xr3:uid="{2DA6F87B-FAE3-4B2C-B582-1B0D68C8A5D1}" name="Viscosidad (cP)" dataDxfId="25" totalsRowDxfId="24"/>
    <tableColumn id="30" xr3:uid="{097EBB21-CEC2-43F0-8E57-49C383587827}" name="Tensión superficial (mN/m)" dataDxfId="23" totalsRowDxfId="22"/>
    <tableColumn id="34" xr3:uid="{C23085F6-349B-47C1-9580-7691431A13EE}" name="Conductividad (µS/cm)" dataDxfId="21" totalsRowDxfId="20"/>
    <tableColumn id="38" xr3:uid="{27FDEF14-95D1-477B-90AF-F5687C417AFA}" name="Contenido en sólidos (%)" dataDxfId="19" totalsRowDxfId="18">
      <calculatedColumnFormula>1-0.7933</calculatedColumnFormula>
    </tableColumn>
    <tableColumn id="39" xr3:uid="{9B6BC86D-200A-47EB-8947-611DD99D019F}" name="Densidad (Kg/l)" dataDxfId="17" totalsRowDxfId="16"/>
    <tableColumn id="41" xr3:uid="{E34DB5FB-9F8B-4B43-9493-1939FA04B969}" name="PH" dataDxfId="15" totalsRowDxfId="14"/>
  </tableColumns>
  <tableStyleInfo name="TableStyleLight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5140D38-D9C0-4556-A4B4-B731F8FD8700}" name="Tabla3" displayName="Tabla3" ref="A2:AE42" totalsRowShown="0" headerRowDxfId="117" headerRowBorderDxfId="116" tableBorderDxfId="115">
  <autoFilter ref="A2:AE42" xr:uid="{45140D38-D9C0-4556-A4B4-B731F8FD8700}"/>
  <tableColumns count="31">
    <tableColumn id="1" xr3:uid="{FDAC2B50-820A-4E52-A1EC-223E7C91B980}" name="Fórmula" dataDxfId="114"/>
    <tableColumn id="2" xr3:uid="{4CDB55A3-23F0-47F8-9E40-235B37A3D909}" name="SEM_x000a_#" dataDxfId="113"/>
    <tableColumn id="3" xr3:uid="{2B2D0DC6-893A-4F41-A1C0-338355527C57}" name="Fecha" dataDxfId="112"/>
    <tableColumn id="4" xr3:uid="{B4F217E2-01DB-4D00-9FC0-D16C28DBBBC4}" name="Propósito" dataDxfId="111"/>
    <tableColumn id="5" xr3:uid="{62E8D1E3-A3BF-4320-ABA0-66BCA4BDCA22}" name="Inyector" dataDxfId="110"/>
    <tableColumn id="6" xr3:uid="{D6C83C4F-DE51-4EB7-ACD1-0A7C1AECA3B6}" name="Numero de agujas" dataDxfId="109"/>
    <tableColumn id="7" xr3:uid="{3451449E-9AB3-4340-AD40-FD270CC4F546}" name="aguja (G)" dataDxfId="108"/>
    <tableColumn id="8" xr3:uid="{19C283ED-74CC-4DAC-85D6-6938F29765AC}" name="Sustrato" dataDxfId="107"/>
    <tableColumn id="9" xr3:uid="{F39CF409-1008-453A-9FA3-1698E285E98C}" name="Tiempo de prueba (min)" dataDxfId="106"/>
    <tableColumn id="10" xr3:uid="{5BD22026-31B6-4EB6-926E-3E51FCE68453}" name="Tipo de Drum" dataDxfId="105"/>
    <tableColumn id="11" xr3:uid="{116E811A-F852-4D44-B407-597431A07211}" name="Velocidad (rpm)" dataDxfId="104"/>
    <tableColumn id="12" xr3:uid="{7C40FCB5-83C0-4331-8B36-8CB5B539C4D5}" name="Tiempo de prueba (min)2" dataDxfId="103"/>
    <tableColumn id="13" xr3:uid="{1DB1AA14-8827-452B-A2B4-C825C840851A}" name="Ciclos (R2R)" dataDxfId="102"/>
    <tableColumn id="14" xr3:uid="{BAF859D0-5A85-4F8E-B567-D3CBF2CB97A8}" name="Velocidad (mm/s)_x000a_@ Tensión" dataDxfId="101"/>
    <tableColumn id="15" xr3:uid="{951FFD5E-0733-4C75-9326-923C90BAA767}" name="Tiempo de prueba (min)3" dataDxfId="100"/>
    <tableColumn id="16" xr3:uid="{C287BDCD-31BD-4982-8DEE-709138D31F7C}" name="Q1 (mL/h)" dataDxfId="99"/>
    <tableColumn id="17" xr3:uid="{0BDF4E7B-E542-42EC-9BF6-3994AF454D65}" name="HV+ (KV)" dataDxfId="98"/>
    <tableColumn id="18" xr3:uid="{D2F180F6-F637-42A0-B789-001AC94688BC}" name="HV- (KV)" dataDxfId="97"/>
    <tableColumn id="19" xr3:uid="{D88D6D1D-36A2-4717-B1E9-35194443B677}" name="T (ºC)" dataDxfId="96"/>
    <tableColumn id="20" xr3:uid="{2258D4E6-D63E-43DC-AAD3-4E7A6B7944C2}" name="RH (%)" dataDxfId="95"/>
    <tableColumn id="25" xr3:uid="{39627C57-65DC-4628-B816-29FB482E23D1}" name="Posicion Y" dataDxfId="94"/>
    <tableColumn id="28" xr3:uid="{B489EDD4-F802-4456-B606-7E6CE64CBC42}" name="Velocidad sweep Y (mm/s)" dataDxfId="93"/>
    <tableColumn id="29" xr3:uid="{18C967DB-EB4B-49C7-9143-7EC5265E9950}" name="Amplitud Sweep Y (mm)" dataDxfId="92"/>
    <tableColumn id="21" xr3:uid="{69D989C3-2DA1-4099-B839-07FC406C5CE2}" name="dZ (mm)" dataDxfId="91"/>
    <tableColumn id="22" xr3:uid="{2D99C7D8-E4C6-4F77-9964-6422AB4FCBC9}" name="Velocidad sweep X  (mm/s)" dataDxfId="90"/>
    <tableColumn id="23" xr3:uid="{6BE91FEE-A1E4-4F19-A0FC-3947E12F73D9}" name="Amplitud Sweep X (mm)" dataDxfId="89"/>
    <tableColumn id="30" xr3:uid="{3EF4DF42-9537-42A9-B6A5-2D89C4098CCA}" name="Air flow_x000a_[m^3/h]" dataDxfId="88"/>
    <tableColumn id="24" xr3:uid="{97E058CC-77CB-4784-9B8E-E5FB421D8D12}" name="Grado de Procesabilidad" dataDxfId="87"/>
    <tableColumn id="27" xr3:uid="{24AB41E3-12A2-42D8-A7FC-B9BAD941D335}" name="Comentarios del Proceso" dataDxfId="86"/>
    <tableColumn id="26" xr3:uid="{C7811C07-5265-4995-A33F-8B4CEC8BC938}" name="Comentarios SEM / Tamaño de Fibra" dataDxfId="85"/>
    <tableColumn id="31" xr3:uid="{DA0A6455-AB21-42DF-80D3-0FF2AFFC568E}" name="Photo" dataDxfId="84"/>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26-03-24T16:38:58.17" personId="{960A2686-0E23-448B-BEC5-DE8A8EA6C015}" id="{546B664A-B12C-4F0B-B768-1727D24063A4}">
    <text>Una vez tengamos nuestro inventario actualizado, tenemos que reemplazar esta lista por la nuestra.</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532AF-2E4B-4A45-A64C-9BFC108BE9D9}">
  <sheetPr codeName="Sheet1">
    <tabColor theme="3"/>
  </sheetPr>
  <dimension ref="A1:Z929"/>
  <sheetViews>
    <sheetView showGridLines="0" zoomScale="115" zoomScaleNormal="115" workbookViewId="0">
      <selection activeCell="B5" sqref="B5"/>
    </sheetView>
  </sheetViews>
  <sheetFormatPr defaultColWidth="17.28515625" defaultRowHeight="15" zeroHeight="1" x14ac:dyDescent="0.25"/>
  <cols>
    <col min="1" max="1" width="5.7109375" style="44" customWidth="1"/>
    <col min="2" max="2" width="33.7109375" style="59" customWidth="1"/>
    <col min="3" max="3" width="33.7109375" style="60" customWidth="1"/>
    <col min="4" max="4" width="44" style="28" customWidth="1"/>
    <col min="5" max="5" width="29.140625" style="59" customWidth="1"/>
    <col min="6" max="6" width="19.5703125" style="59" customWidth="1"/>
    <col min="7" max="7" width="17.28515625" style="52"/>
    <col min="8" max="8" width="26" style="28" customWidth="1"/>
    <col min="9" max="9" width="17.28515625" style="52"/>
    <col min="10" max="10" width="14.5703125" style="52" customWidth="1"/>
    <col min="11" max="11" width="37.42578125" style="52" customWidth="1"/>
    <col min="12" max="26" width="17.28515625" style="52"/>
    <col min="27" max="16384" width="17.28515625" style="35"/>
  </cols>
  <sheetData>
    <row r="1" spans="1:11" ht="16.899999999999999" customHeight="1" x14ac:dyDescent="0.25">
      <c r="A1" s="61" t="s">
        <v>0</v>
      </c>
      <c r="B1" s="63" t="s">
        <v>1</v>
      </c>
      <c r="C1" s="63" t="s">
        <v>2</v>
      </c>
      <c r="D1" s="323" t="s">
        <v>3</v>
      </c>
      <c r="E1" s="64" t="s">
        <v>4</v>
      </c>
      <c r="F1" s="64" t="s">
        <v>2</v>
      </c>
    </row>
    <row r="2" spans="1:11" ht="13.15" customHeight="1" thickBot="1" x14ac:dyDescent="0.3">
      <c r="A2" s="62">
        <v>1</v>
      </c>
      <c r="B2" s="322" t="s">
        <v>25</v>
      </c>
      <c r="C2" s="322" t="s">
        <v>26</v>
      </c>
      <c r="D2" s="66" t="s">
        <v>5</v>
      </c>
      <c r="E2" s="58" t="s">
        <v>6</v>
      </c>
      <c r="F2" s="65" t="s">
        <v>7</v>
      </c>
    </row>
    <row r="3" spans="1:11" ht="13.15" customHeight="1" x14ac:dyDescent="0.25">
      <c r="A3" s="62">
        <v>2</v>
      </c>
      <c r="B3" s="322" t="s">
        <v>201</v>
      </c>
      <c r="C3" s="322" t="s">
        <v>202</v>
      </c>
      <c r="E3" s="58" t="s">
        <v>9</v>
      </c>
      <c r="F3" s="65" t="s">
        <v>10</v>
      </c>
    </row>
    <row r="4" spans="1:11" ht="13.15" customHeight="1" x14ac:dyDescent="0.25">
      <c r="A4" s="62">
        <v>3</v>
      </c>
      <c r="B4" s="58" t="s">
        <v>183</v>
      </c>
      <c r="C4" s="65" t="s">
        <v>184</v>
      </c>
      <c r="E4" s="58" t="s">
        <v>12</v>
      </c>
      <c r="F4" s="65" t="s">
        <v>13</v>
      </c>
      <c r="H4" s="232" t="s">
        <v>14</v>
      </c>
      <c r="I4" s="232" t="s">
        <v>15</v>
      </c>
      <c r="J4" s="231" t="s">
        <v>16</v>
      </c>
      <c r="K4" s="232" t="s">
        <v>17</v>
      </c>
    </row>
    <row r="5" spans="1:11" ht="13.15" customHeight="1" x14ac:dyDescent="0.25">
      <c r="A5" s="62">
        <v>4</v>
      </c>
      <c r="B5" s="322"/>
      <c r="C5" s="322"/>
      <c r="E5" s="58" t="s">
        <v>19</v>
      </c>
      <c r="F5" s="65" t="s">
        <v>20</v>
      </c>
      <c r="H5" s="234" t="s">
        <v>21</v>
      </c>
      <c r="I5" s="234" t="s">
        <v>22</v>
      </c>
      <c r="J5" s="235" t="s">
        <v>23</v>
      </c>
      <c r="K5" s="234" t="s">
        <v>24</v>
      </c>
    </row>
    <row r="6" spans="1:11" ht="13.15" customHeight="1" x14ac:dyDescent="0.25">
      <c r="A6" s="62">
        <v>5</v>
      </c>
      <c r="B6" s="322"/>
      <c r="C6" s="322"/>
      <c r="E6" s="58" t="s">
        <v>25</v>
      </c>
      <c r="F6" s="65" t="s">
        <v>26</v>
      </c>
      <c r="H6" s="233" t="s">
        <v>27</v>
      </c>
      <c r="I6" s="234" t="s">
        <v>28</v>
      </c>
      <c r="J6" s="235" t="s">
        <v>29</v>
      </c>
      <c r="K6" s="234" t="s">
        <v>30</v>
      </c>
    </row>
    <row r="7" spans="1:11" ht="13.15" customHeight="1" x14ac:dyDescent="0.25">
      <c r="A7" s="62">
        <v>6</v>
      </c>
      <c r="B7" s="322"/>
      <c r="C7" s="322"/>
      <c r="E7" s="58" t="s">
        <v>32</v>
      </c>
      <c r="F7" s="65" t="s">
        <v>33</v>
      </c>
      <c r="H7" s="233" t="s">
        <v>34</v>
      </c>
      <c r="I7" s="234" t="s">
        <v>35</v>
      </c>
      <c r="J7" s="235" t="s">
        <v>36</v>
      </c>
      <c r="K7" s="126"/>
    </row>
    <row r="8" spans="1:11" ht="13.15" customHeight="1" x14ac:dyDescent="0.25">
      <c r="A8" s="62">
        <v>7</v>
      </c>
      <c r="B8" s="322"/>
      <c r="C8" s="322"/>
      <c r="E8" s="58" t="s">
        <v>37</v>
      </c>
      <c r="F8" s="65" t="s">
        <v>38</v>
      </c>
      <c r="H8" s="126"/>
      <c r="I8" s="234" t="s">
        <v>39</v>
      </c>
      <c r="J8" s="235" t="s">
        <v>40</v>
      </c>
      <c r="K8" s="126"/>
    </row>
    <row r="9" spans="1:11" ht="13.15" customHeight="1" x14ac:dyDescent="0.25">
      <c r="A9" s="62">
        <v>8</v>
      </c>
      <c r="B9" s="322"/>
      <c r="C9" s="322"/>
      <c r="E9" s="58" t="s">
        <v>41</v>
      </c>
      <c r="F9" s="65" t="s">
        <v>42</v>
      </c>
      <c r="H9" s="126"/>
      <c r="I9" s="234" t="s">
        <v>43</v>
      </c>
      <c r="J9" s="235" t="s">
        <v>44</v>
      </c>
      <c r="K9" s="126"/>
    </row>
    <row r="10" spans="1:11" ht="13.15" customHeight="1" x14ac:dyDescent="0.25">
      <c r="A10" s="62">
        <v>9</v>
      </c>
      <c r="B10" s="322"/>
      <c r="C10" s="322"/>
      <c r="E10" s="58" t="s">
        <v>45</v>
      </c>
      <c r="F10" s="65" t="s">
        <v>46</v>
      </c>
      <c r="H10" s="126"/>
      <c r="I10" s="126"/>
      <c r="J10" s="235" t="s">
        <v>47</v>
      </c>
      <c r="K10" s="126"/>
    </row>
    <row r="11" spans="1:11" customFormat="1" ht="13.15" customHeight="1" x14ac:dyDescent="0.25">
      <c r="A11" s="62">
        <v>10</v>
      </c>
      <c r="B11" s="63"/>
      <c r="C11" s="63"/>
      <c r="D11" s="28"/>
      <c r="E11" s="58" t="s">
        <v>48</v>
      </c>
      <c r="F11" s="65" t="s">
        <v>49</v>
      </c>
    </row>
    <row r="12" spans="1:11" customFormat="1" ht="13.15" customHeight="1" x14ac:dyDescent="0.25">
      <c r="A12" s="62">
        <v>11</v>
      </c>
      <c r="B12" s="63"/>
      <c r="C12" s="63"/>
      <c r="D12" s="28"/>
      <c r="E12" s="58" t="s">
        <v>50</v>
      </c>
      <c r="F12" s="65" t="s">
        <v>51</v>
      </c>
    </row>
    <row r="13" spans="1:11" customFormat="1" ht="13.15" customHeight="1" x14ac:dyDescent="0.25">
      <c r="A13" s="62">
        <v>12</v>
      </c>
      <c r="B13" s="63"/>
      <c r="C13" s="63"/>
      <c r="D13" s="28"/>
      <c r="E13" s="58" t="s">
        <v>52</v>
      </c>
      <c r="F13" s="65" t="s">
        <v>53</v>
      </c>
    </row>
    <row r="14" spans="1:11" customFormat="1" ht="13.15" customHeight="1" x14ac:dyDescent="0.25">
      <c r="A14" s="62">
        <v>13</v>
      </c>
      <c r="B14" s="63"/>
      <c r="C14" s="63"/>
      <c r="D14" s="28"/>
      <c r="E14" s="58" t="s">
        <v>54</v>
      </c>
      <c r="F14" s="65">
        <v>1100013</v>
      </c>
    </row>
    <row r="15" spans="1:11" customFormat="1" ht="13.15" customHeight="1" x14ac:dyDescent="0.25">
      <c r="A15" s="62">
        <v>14</v>
      </c>
      <c r="B15" s="63"/>
      <c r="C15" s="63"/>
      <c r="D15" s="28"/>
      <c r="E15" s="58" t="s">
        <v>55</v>
      </c>
      <c r="F15" s="65" t="s">
        <v>56</v>
      </c>
    </row>
    <row r="16" spans="1:11" customFormat="1" ht="13.15" customHeight="1" x14ac:dyDescent="0.25">
      <c r="A16" s="62">
        <v>15</v>
      </c>
      <c r="B16" s="63"/>
      <c r="C16" s="63"/>
      <c r="D16" s="28"/>
      <c r="E16" s="58" t="s">
        <v>57</v>
      </c>
      <c r="F16" s="65" t="s">
        <v>58</v>
      </c>
    </row>
    <row r="17" spans="1:6" customFormat="1" ht="13.15" customHeight="1" x14ac:dyDescent="0.25">
      <c r="A17" s="62">
        <v>16</v>
      </c>
      <c r="B17" s="63"/>
      <c r="C17" s="63"/>
      <c r="D17" s="28"/>
      <c r="E17" s="58" t="s">
        <v>59</v>
      </c>
      <c r="F17" s="65">
        <v>1100016</v>
      </c>
    </row>
    <row r="18" spans="1:6" customFormat="1" ht="13.15" customHeight="1" x14ac:dyDescent="0.25">
      <c r="A18" s="62">
        <v>17</v>
      </c>
      <c r="B18" s="63"/>
      <c r="C18" s="63"/>
      <c r="D18" s="28"/>
      <c r="E18" s="58" t="s">
        <v>60</v>
      </c>
      <c r="F18" s="65" t="s">
        <v>61</v>
      </c>
    </row>
    <row r="19" spans="1:6" customFormat="1" ht="13.15" customHeight="1" x14ac:dyDescent="0.25">
      <c r="A19" s="62">
        <v>18</v>
      </c>
      <c r="B19" s="63"/>
      <c r="C19" s="63"/>
      <c r="D19" s="28"/>
      <c r="E19" s="58" t="s">
        <v>62</v>
      </c>
      <c r="F19" s="65" t="s">
        <v>63</v>
      </c>
    </row>
    <row r="20" spans="1:6" customFormat="1" ht="13.15" customHeight="1" x14ac:dyDescent="0.25">
      <c r="A20" s="62">
        <v>19</v>
      </c>
      <c r="B20" s="63"/>
      <c r="C20" s="63"/>
      <c r="D20" s="28"/>
      <c r="E20" s="58" t="s">
        <v>64</v>
      </c>
      <c r="F20" s="65" t="s">
        <v>65</v>
      </c>
    </row>
    <row r="21" spans="1:6" customFormat="1" ht="13.15" customHeight="1" x14ac:dyDescent="0.25">
      <c r="A21" s="62">
        <v>20</v>
      </c>
      <c r="B21" s="63"/>
      <c r="C21" s="63"/>
      <c r="D21" s="28"/>
      <c r="E21" s="58" t="s">
        <v>66</v>
      </c>
      <c r="F21" s="65" t="s">
        <v>67</v>
      </c>
    </row>
    <row r="22" spans="1:6" customFormat="1" ht="13.15" customHeight="1" x14ac:dyDescent="0.25">
      <c r="A22" s="62">
        <v>21</v>
      </c>
      <c r="B22" s="63"/>
      <c r="C22" s="63"/>
      <c r="D22" s="28"/>
      <c r="E22" s="58" t="s">
        <v>68</v>
      </c>
      <c r="F22" s="65" t="s">
        <v>69</v>
      </c>
    </row>
    <row r="23" spans="1:6" customFormat="1" ht="13.15" customHeight="1" x14ac:dyDescent="0.25">
      <c r="A23" s="62">
        <v>22</v>
      </c>
      <c r="B23" s="63"/>
      <c r="C23" s="63"/>
      <c r="D23" s="28"/>
      <c r="E23" s="58" t="s">
        <v>70</v>
      </c>
      <c r="F23" s="65" t="s">
        <v>71</v>
      </c>
    </row>
    <row r="24" spans="1:6" customFormat="1" ht="13.15" customHeight="1" x14ac:dyDescent="0.25">
      <c r="A24" s="62">
        <v>23</v>
      </c>
      <c r="B24" s="63"/>
      <c r="C24" s="63"/>
      <c r="D24" s="28"/>
      <c r="E24" s="58" t="s">
        <v>72</v>
      </c>
      <c r="F24" s="65" t="s">
        <v>73</v>
      </c>
    </row>
    <row r="25" spans="1:6" customFormat="1" ht="13.15" customHeight="1" x14ac:dyDescent="0.25">
      <c r="A25" s="62">
        <v>24</v>
      </c>
      <c r="B25" s="63"/>
      <c r="C25" s="63"/>
      <c r="D25" s="28"/>
      <c r="E25" s="58" t="s">
        <v>74</v>
      </c>
      <c r="F25" s="65" t="s">
        <v>75</v>
      </c>
    </row>
    <row r="26" spans="1:6" customFormat="1" ht="13.15" customHeight="1" x14ac:dyDescent="0.25">
      <c r="A26" s="62">
        <v>25</v>
      </c>
      <c r="B26" s="63"/>
      <c r="C26" s="63"/>
      <c r="D26" s="28"/>
      <c r="E26" s="58" t="s">
        <v>76</v>
      </c>
      <c r="F26" s="65" t="s">
        <v>77</v>
      </c>
    </row>
    <row r="27" spans="1:6" customFormat="1" ht="13.15" customHeight="1" x14ac:dyDescent="0.25">
      <c r="A27" s="62">
        <v>26</v>
      </c>
      <c r="B27" s="63"/>
      <c r="C27" s="63"/>
      <c r="D27" s="28"/>
      <c r="E27" s="58" t="s">
        <v>78</v>
      </c>
      <c r="F27" s="65" t="s">
        <v>79</v>
      </c>
    </row>
    <row r="28" spans="1:6" customFormat="1" ht="13.15" customHeight="1" x14ac:dyDescent="0.25">
      <c r="A28" s="62">
        <v>27</v>
      </c>
      <c r="B28" s="63"/>
      <c r="C28" s="63"/>
      <c r="D28" s="28"/>
      <c r="E28" s="58" t="s">
        <v>80</v>
      </c>
      <c r="F28" s="65" t="s">
        <v>81</v>
      </c>
    </row>
    <row r="29" spans="1:6" customFormat="1" ht="13.15" customHeight="1" x14ac:dyDescent="0.25">
      <c r="A29" s="62">
        <v>28</v>
      </c>
      <c r="B29" s="63"/>
      <c r="C29" s="63"/>
      <c r="D29" s="28"/>
      <c r="E29" s="58" t="s">
        <v>82</v>
      </c>
      <c r="F29" s="65" t="s">
        <v>83</v>
      </c>
    </row>
    <row r="30" spans="1:6" customFormat="1" ht="13.15" customHeight="1" x14ac:dyDescent="0.25">
      <c r="A30" s="62">
        <v>29</v>
      </c>
      <c r="B30" s="63"/>
      <c r="C30" s="63"/>
      <c r="D30" s="28"/>
      <c r="E30" s="58" t="s">
        <v>84</v>
      </c>
      <c r="F30" s="65" t="s">
        <v>85</v>
      </c>
    </row>
    <row r="31" spans="1:6" customFormat="1" ht="13.15" customHeight="1" x14ac:dyDescent="0.25">
      <c r="A31" s="62">
        <v>30</v>
      </c>
      <c r="B31" s="63"/>
      <c r="C31" s="63"/>
      <c r="D31" s="28"/>
      <c r="E31" s="58" t="s">
        <v>86</v>
      </c>
      <c r="F31" s="65" t="s">
        <v>87</v>
      </c>
    </row>
    <row r="32" spans="1:6" customFormat="1" ht="13.15" customHeight="1" x14ac:dyDescent="0.25">
      <c r="A32" s="28"/>
      <c r="B32" s="28"/>
      <c r="C32" s="28"/>
      <c r="D32" s="28"/>
      <c r="E32" s="58" t="s">
        <v>88</v>
      </c>
      <c r="F32" s="65" t="s">
        <v>89</v>
      </c>
    </row>
    <row r="33" spans="1:6" customFormat="1" ht="13.15" customHeight="1" x14ac:dyDescent="0.25">
      <c r="A33" s="28"/>
      <c r="B33" s="28"/>
      <c r="C33" s="28"/>
      <c r="D33" s="28"/>
      <c r="E33" s="58" t="s">
        <v>90</v>
      </c>
      <c r="F33" s="65" t="s">
        <v>91</v>
      </c>
    </row>
    <row r="34" spans="1:6" customFormat="1" ht="13.15" customHeight="1" x14ac:dyDescent="0.25">
      <c r="A34" s="28"/>
      <c r="B34" s="28"/>
      <c r="C34" s="28"/>
      <c r="D34" s="28"/>
      <c r="E34" s="58" t="s">
        <v>92</v>
      </c>
      <c r="F34" s="65" t="s">
        <v>93</v>
      </c>
    </row>
    <row r="35" spans="1:6" customFormat="1" ht="13.15" customHeight="1" x14ac:dyDescent="0.25">
      <c r="A35" s="28"/>
      <c r="B35" s="28"/>
      <c r="C35" s="28"/>
      <c r="D35" s="28"/>
      <c r="E35" s="58" t="s">
        <v>94</v>
      </c>
      <c r="F35" s="65" t="s">
        <v>95</v>
      </c>
    </row>
    <row r="36" spans="1:6" customFormat="1" ht="13.15" customHeight="1" x14ac:dyDescent="0.25">
      <c r="A36" s="28"/>
      <c r="B36" s="28"/>
      <c r="C36" s="28"/>
      <c r="D36" s="28"/>
      <c r="E36" s="58" t="s">
        <v>96</v>
      </c>
      <c r="F36" s="65" t="s">
        <v>97</v>
      </c>
    </row>
    <row r="37" spans="1:6" customFormat="1" ht="13.15" customHeight="1" x14ac:dyDescent="0.25">
      <c r="A37" s="28"/>
      <c r="B37" s="28"/>
      <c r="C37" s="28"/>
      <c r="D37" s="28"/>
      <c r="E37" s="58" t="s">
        <v>98</v>
      </c>
      <c r="F37" s="65" t="s">
        <v>99</v>
      </c>
    </row>
    <row r="38" spans="1:6" customFormat="1" ht="13.15" customHeight="1" x14ac:dyDescent="0.25">
      <c r="A38" s="28"/>
      <c r="B38" s="28"/>
      <c r="C38" s="28"/>
      <c r="D38" s="28"/>
      <c r="E38" s="58" t="s">
        <v>100</v>
      </c>
      <c r="F38" s="65" t="s">
        <v>101</v>
      </c>
    </row>
    <row r="39" spans="1:6" customFormat="1" ht="13.15" customHeight="1" x14ac:dyDescent="0.25">
      <c r="A39" s="28"/>
      <c r="B39" s="28"/>
      <c r="C39" s="28"/>
      <c r="D39" s="28"/>
      <c r="E39" s="58" t="s">
        <v>102</v>
      </c>
      <c r="F39" s="65" t="s">
        <v>103</v>
      </c>
    </row>
    <row r="40" spans="1:6" customFormat="1" ht="13.15" customHeight="1" x14ac:dyDescent="0.25">
      <c r="A40" s="28"/>
      <c r="B40" s="28"/>
      <c r="C40" s="28"/>
      <c r="D40" s="28"/>
      <c r="E40" s="58" t="s">
        <v>104</v>
      </c>
      <c r="F40" s="65" t="s">
        <v>105</v>
      </c>
    </row>
    <row r="41" spans="1:6" customFormat="1" ht="13.15" customHeight="1" x14ac:dyDescent="0.25">
      <c r="A41" s="28"/>
      <c r="B41" s="28"/>
      <c r="C41" s="28"/>
      <c r="D41" s="28"/>
      <c r="E41" s="58" t="s">
        <v>106</v>
      </c>
      <c r="F41" s="65" t="s">
        <v>107</v>
      </c>
    </row>
    <row r="42" spans="1:6" customFormat="1" ht="13.15" customHeight="1" x14ac:dyDescent="0.25">
      <c r="A42" s="28"/>
      <c r="B42" s="28"/>
      <c r="C42" s="28"/>
      <c r="D42" s="28"/>
      <c r="E42" s="58" t="s">
        <v>108</v>
      </c>
      <c r="F42" s="65" t="s">
        <v>109</v>
      </c>
    </row>
    <row r="43" spans="1:6" customFormat="1" ht="13.15" customHeight="1" x14ac:dyDescent="0.25">
      <c r="A43" s="28"/>
      <c r="B43" s="28"/>
      <c r="C43" s="28"/>
      <c r="D43" s="28"/>
      <c r="E43" s="58" t="s">
        <v>110</v>
      </c>
      <c r="F43" s="65" t="s">
        <v>111</v>
      </c>
    </row>
    <row r="44" spans="1:6" customFormat="1" ht="13.15" customHeight="1" x14ac:dyDescent="0.25">
      <c r="A44" s="28"/>
      <c r="B44" s="28"/>
      <c r="C44" s="28"/>
      <c r="D44" s="28"/>
      <c r="E44" s="58" t="s">
        <v>112</v>
      </c>
      <c r="F44" s="65" t="s">
        <v>113</v>
      </c>
    </row>
    <row r="45" spans="1:6" customFormat="1" ht="13.15" customHeight="1" x14ac:dyDescent="0.25">
      <c r="A45" s="28"/>
      <c r="B45" s="28"/>
      <c r="C45" s="28"/>
      <c r="D45" s="28"/>
      <c r="E45" s="58" t="s">
        <v>114</v>
      </c>
      <c r="F45" s="65" t="s">
        <v>115</v>
      </c>
    </row>
    <row r="46" spans="1:6" customFormat="1" ht="13.15" customHeight="1" x14ac:dyDescent="0.25">
      <c r="A46" s="28"/>
      <c r="B46" s="28"/>
      <c r="C46" s="28"/>
      <c r="D46" s="28"/>
      <c r="E46" s="58" t="s">
        <v>116</v>
      </c>
      <c r="F46" s="65" t="s">
        <v>117</v>
      </c>
    </row>
    <row r="47" spans="1:6" customFormat="1" ht="13.15" customHeight="1" x14ac:dyDescent="0.25">
      <c r="A47" s="28"/>
      <c r="B47" s="28"/>
      <c r="C47" s="28"/>
      <c r="D47" s="28"/>
      <c r="E47" s="58" t="s">
        <v>118</v>
      </c>
      <c r="F47" s="65" t="s">
        <v>119</v>
      </c>
    </row>
    <row r="48" spans="1:6" customFormat="1" ht="13.15" customHeight="1" x14ac:dyDescent="0.25">
      <c r="A48" s="28"/>
      <c r="B48" s="28"/>
      <c r="C48" s="28"/>
      <c r="D48" s="28"/>
      <c r="E48" s="58" t="s">
        <v>52</v>
      </c>
      <c r="F48" s="65" t="s">
        <v>120</v>
      </c>
    </row>
    <row r="49" spans="1:6" customFormat="1" ht="13.15" customHeight="1" x14ac:dyDescent="0.25">
      <c r="A49" s="28"/>
      <c r="B49" s="28"/>
      <c r="C49" s="28"/>
      <c r="D49" s="28"/>
      <c r="E49" s="58" t="s">
        <v>121</v>
      </c>
      <c r="F49" s="65" t="s">
        <v>122</v>
      </c>
    </row>
    <row r="50" spans="1:6" customFormat="1" ht="13.15" customHeight="1" x14ac:dyDescent="0.25">
      <c r="A50" s="28"/>
      <c r="B50" s="28"/>
      <c r="C50" s="28"/>
      <c r="D50" s="28"/>
      <c r="E50" s="58" t="s">
        <v>123</v>
      </c>
      <c r="F50" s="65" t="s">
        <v>124</v>
      </c>
    </row>
    <row r="51" spans="1:6" customFormat="1" ht="13.15" customHeight="1" x14ac:dyDescent="0.25">
      <c r="A51" s="28"/>
      <c r="B51" s="28"/>
      <c r="C51" s="28"/>
      <c r="D51" s="28"/>
      <c r="E51" s="58" t="s">
        <v>125</v>
      </c>
      <c r="F51" s="65" t="s">
        <v>126</v>
      </c>
    </row>
    <row r="52" spans="1:6" customFormat="1" ht="13.15" customHeight="1" x14ac:dyDescent="0.25">
      <c r="A52" s="28"/>
      <c r="B52" s="28"/>
      <c r="C52" s="28"/>
      <c r="D52" s="28"/>
      <c r="E52" s="58" t="s">
        <v>127</v>
      </c>
      <c r="F52" s="65" t="s">
        <v>128</v>
      </c>
    </row>
    <row r="53" spans="1:6" customFormat="1" ht="13.15" customHeight="1" x14ac:dyDescent="0.25">
      <c r="A53" s="28"/>
      <c r="B53" s="28"/>
      <c r="C53" s="28"/>
      <c r="D53" s="28"/>
      <c r="E53" s="58" t="s">
        <v>129</v>
      </c>
      <c r="F53" s="65" t="s">
        <v>130</v>
      </c>
    </row>
    <row r="54" spans="1:6" customFormat="1" ht="13.15" customHeight="1" x14ac:dyDescent="0.25">
      <c r="A54" s="28"/>
      <c r="B54" s="28"/>
      <c r="C54" s="28"/>
      <c r="D54" s="28"/>
      <c r="E54" s="58" t="s">
        <v>131</v>
      </c>
      <c r="F54" s="65" t="s">
        <v>132</v>
      </c>
    </row>
    <row r="55" spans="1:6" customFormat="1" ht="13.15" customHeight="1" x14ac:dyDescent="0.25">
      <c r="A55" s="28"/>
      <c r="B55" s="28"/>
      <c r="C55" s="28"/>
      <c r="D55" s="28"/>
      <c r="E55" s="58" t="s">
        <v>133</v>
      </c>
      <c r="F55" s="65" t="s">
        <v>134</v>
      </c>
    </row>
    <row r="56" spans="1:6" customFormat="1" ht="13.15" customHeight="1" x14ac:dyDescent="0.25">
      <c r="A56" s="28"/>
      <c r="B56" s="28"/>
      <c r="C56" s="28"/>
      <c r="D56" s="28"/>
      <c r="E56" s="58" t="s">
        <v>135</v>
      </c>
      <c r="F56" s="65" t="s">
        <v>136</v>
      </c>
    </row>
    <row r="57" spans="1:6" customFormat="1" ht="13.15" customHeight="1" x14ac:dyDescent="0.25">
      <c r="A57" s="28"/>
      <c r="B57" s="28"/>
      <c r="C57" s="28"/>
      <c r="D57" s="28"/>
      <c r="E57" s="58" t="s">
        <v>137</v>
      </c>
      <c r="F57" s="65" t="s">
        <v>138</v>
      </c>
    </row>
    <row r="58" spans="1:6" customFormat="1" ht="13.15" customHeight="1" x14ac:dyDescent="0.25">
      <c r="A58" s="28"/>
      <c r="B58" s="28"/>
      <c r="C58" s="28"/>
      <c r="D58" s="28"/>
      <c r="E58" s="58" t="s">
        <v>139</v>
      </c>
      <c r="F58" s="65" t="s">
        <v>140</v>
      </c>
    </row>
    <row r="59" spans="1:6" customFormat="1" ht="13.15" customHeight="1" x14ac:dyDescent="0.25">
      <c r="A59" s="28"/>
      <c r="B59" s="28"/>
      <c r="C59" s="28"/>
      <c r="D59" s="28"/>
      <c r="E59" s="58" t="s">
        <v>141</v>
      </c>
      <c r="F59" s="65" t="s">
        <v>142</v>
      </c>
    </row>
    <row r="60" spans="1:6" customFormat="1" ht="13.15" customHeight="1" x14ac:dyDescent="0.25">
      <c r="A60" s="28"/>
      <c r="B60" s="28"/>
      <c r="C60" s="28"/>
      <c r="D60" s="28"/>
      <c r="E60" s="58" t="s">
        <v>143</v>
      </c>
      <c r="F60" s="65" t="s">
        <v>144</v>
      </c>
    </row>
    <row r="61" spans="1:6" customFormat="1" ht="13.15" customHeight="1" x14ac:dyDescent="0.25">
      <c r="A61" s="28"/>
      <c r="B61" s="28"/>
      <c r="C61" s="28"/>
      <c r="D61" s="28"/>
      <c r="E61" s="58" t="s">
        <v>145</v>
      </c>
      <c r="F61" s="65" t="s">
        <v>146</v>
      </c>
    </row>
    <row r="62" spans="1:6" customFormat="1" ht="13.15" customHeight="1" x14ac:dyDescent="0.25">
      <c r="A62" s="28"/>
      <c r="B62" s="28"/>
      <c r="C62" s="28"/>
      <c r="D62" s="28"/>
      <c r="E62" s="58" t="s">
        <v>147</v>
      </c>
      <c r="F62" s="65" t="s">
        <v>148</v>
      </c>
    </row>
    <row r="63" spans="1:6" customFormat="1" ht="13.15" customHeight="1" x14ac:dyDescent="0.25">
      <c r="A63" s="28"/>
      <c r="B63" s="28"/>
      <c r="C63" s="28"/>
      <c r="D63" s="28"/>
      <c r="E63" s="58" t="s">
        <v>149</v>
      </c>
      <c r="F63" s="65" t="s">
        <v>150</v>
      </c>
    </row>
    <row r="64" spans="1:6" customFormat="1" ht="13.15" customHeight="1" x14ac:dyDescent="0.25">
      <c r="A64" s="28"/>
      <c r="B64" s="28"/>
      <c r="C64" s="28"/>
      <c r="D64" s="28"/>
      <c r="E64" s="58" t="s">
        <v>151</v>
      </c>
      <c r="F64" s="65" t="s">
        <v>152</v>
      </c>
    </row>
    <row r="65" spans="1:6" customFormat="1" ht="13.15" customHeight="1" x14ac:dyDescent="0.25">
      <c r="A65" s="28"/>
      <c r="B65" s="28"/>
      <c r="C65" s="28"/>
      <c r="D65" s="28"/>
      <c r="E65" s="58" t="s">
        <v>153</v>
      </c>
      <c r="F65" s="65" t="s">
        <v>154</v>
      </c>
    </row>
    <row r="66" spans="1:6" customFormat="1" ht="13.15" customHeight="1" x14ac:dyDescent="0.25">
      <c r="A66" s="28"/>
      <c r="B66" s="28"/>
      <c r="C66" s="28"/>
      <c r="D66" s="28"/>
      <c r="E66" s="58" t="s">
        <v>155</v>
      </c>
      <c r="F66" s="65" t="s">
        <v>156</v>
      </c>
    </row>
    <row r="67" spans="1:6" customFormat="1" ht="13.15" customHeight="1" x14ac:dyDescent="0.25">
      <c r="A67" s="28"/>
      <c r="B67" s="28"/>
      <c r="C67" s="28"/>
      <c r="D67" s="28"/>
      <c r="E67" s="58" t="s">
        <v>157</v>
      </c>
      <c r="F67" s="65" t="s">
        <v>158</v>
      </c>
    </row>
    <row r="68" spans="1:6" customFormat="1" ht="13.15" customHeight="1" x14ac:dyDescent="0.25">
      <c r="A68" s="28"/>
      <c r="B68" s="28"/>
      <c r="C68" s="28"/>
      <c r="D68" s="28"/>
      <c r="E68" s="58" t="s">
        <v>159</v>
      </c>
      <c r="F68" s="65" t="s">
        <v>160</v>
      </c>
    </row>
    <row r="69" spans="1:6" customFormat="1" ht="13.15" customHeight="1" x14ac:dyDescent="0.25">
      <c r="A69" s="28"/>
      <c r="B69" s="28"/>
      <c r="C69" s="28"/>
      <c r="D69" s="28"/>
      <c r="E69" s="58" t="s">
        <v>161</v>
      </c>
      <c r="F69" s="65" t="s">
        <v>162</v>
      </c>
    </row>
    <row r="70" spans="1:6" customFormat="1" ht="13.15" customHeight="1" x14ac:dyDescent="0.25">
      <c r="A70" s="28"/>
      <c r="B70" s="28"/>
      <c r="C70" s="28"/>
      <c r="D70" s="28"/>
      <c r="E70" s="58" t="s">
        <v>163</v>
      </c>
      <c r="F70" s="65" t="s">
        <v>164</v>
      </c>
    </row>
    <row r="71" spans="1:6" customFormat="1" ht="13.15" customHeight="1" x14ac:dyDescent="0.25">
      <c r="A71" s="28"/>
      <c r="B71" s="28"/>
      <c r="C71" s="28"/>
      <c r="D71" s="28"/>
      <c r="E71" s="58" t="s">
        <v>165</v>
      </c>
      <c r="F71" s="65" t="s">
        <v>166</v>
      </c>
    </row>
    <row r="72" spans="1:6" customFormat="1" ht="13.15" customHeight="1" x14ac:dyDescent="0.25">
      <c r="A72" s="28"/>
      <c r="B72" s="28"/>
      <c r="C72" s="28"/>
      <c r="D72" s="28"/>
      <c r="E72" s="58" t="s">
        <v>167</v>
      </c>
      <c r="F72" s="65" t="s">
        <v>168</v>
      </c>
    </row>
    <row r="73" spans="1:6" customFormat="1" ht="13.15" customHeight="1" x14ac:dyDescent="0.25">
      <c r="A73" s="28"/>
      <c r="B73" s="28"/>
      <c r="C73" s="28"/>
      <c r="D73" s="28"/>
      <c r="E73" s="58" t="s">
        <v>169</v>
      </c>
      <c r="F73" s="65" t="s">
        <v>170</v>
      </c>
    </row>
    <row r="74" spans="1:6" customFormat="1" ht="13.15" customHeight="1" x14ac:dyDescent="0.25">
      <c r="A74" s="28"/>
      <c r="B74" s="28"/>
      <c r="C74" s="28"/>
      <c r="D74" s="28"/>
      <c r="E74" s="58" t="s">
        <v>171</v>
      </c>
      <c r="F74" s="65" t="s">
        <v>172</v>
      </c>
    </row>
    <row r="75" spans="1:6" customFormat="1" ht="13.15" customHeight="1" x14ac:dyDescent="0.25">
      <c r="A75" s="28"/>
      <c r="B75" s="28"/>
      <c r="C75" s="28"/>
      <c r="D75" s="28"/>
      <c r="E75" s="58" t="s">
        <v>173</v>
      </c>
      <c r="F75" s="65" t="s">
        <v>174</v>
      </c>
    </row>
    <row r="76" spans="1:6" customFormat="1" ht="13.15" customHeight="1" x14ac:dyDescent="0.25">
      <c r="A76" s="28"/>
      <c r="B76" s="28"/>
      <c r="C76" s="28"/>
      <c r="D76" s="28"/>
      <c r="E76" s="58" t="s">
        <v>175</v>
      </c>
      <c r="F76" s="65" t="s">
        <v>176</v>
      </c>
    </row>
    <row r="77" spans="1:6" customFormat="1" ht="13.15" customHeight="1" x14ac:dyDescent="0.25">
      <c r="A77" s="28"/>
      <c r="B77" s="28"/>
      <c r="C77" s="28"/>
      <c r="D77" s="28"/>
      <c r="E77" s="58" t="s">
        <v>177</v>
      </c>
      <c r="F77" s="65" t="s">
        <v>178</v>
      </c>
    </row>
    <row r="78" spans="1:6" customFormat="1" ht="13.15" customHeight="1" x14ac:dyDescent="0.25">
      <c r="A78" s="28"/>
      <c r="B78" s="28"/>
      <c r="C78" s="28"/>
      <c r="D78" s="28"/>
      <c r="E78" s="58" t="s">
        <v>179</v>
      </c>
      <c r="F78" s="65" t="s">
        <v>180</v>
      </c>
    </row>
    <row r="79" spans="1:6" customFormat="1" ht="13.15" customHeight="1" x14ac:dyDescent="0.25">
      <c r="A79" s="28"/>
      <c r="B79" s="28"/>
      <c r="C79" s="28"/>
      <c r="D79" s="28"/>
      <c r="E79" s="58" t="s">
        <v>181</v>
      </c>
      <c r="F79" s="65" t="s">
        <v>182</v>
      </c>
    </row>
    <row r="80" spans="1:6" customFormat="1" ht="13.15" customHeight="1" x14ac:dyDescent="0.25">
      <c r="A80" s="28"/>
      <c r="B80" s="28"/>
      <c r="C80" s="28"/>
      <c r="D80" s="28"/>
      <c r="E80" s="58" t="s">
        <v>183</v>
      </c>
      <c r="F80" s="65" t="s">
        <v>184</v>
      </c>
    </row>
    <row r="81" spans="1:6" customFormat="1" ht="13.15" customHeight="1" x14ac:dyDescent="0.25">
      <c r="A81" s="28"/>
      <c r="B81" s="28"/>
      <c r="C81" s="28"/>
      <c r="D81" s="28"/>
      <c r="E81" s="58" t="s">
        <v>185</v>
      </c>
      <c r="F81" s="65" t="s">
        <v>186</v>
      </c>
    </row>
    <row r="82" spans="1:6" customFormat="1" ht="13.15" customHeight="1" x14ac:dyDescent="0.25">
      <c r="A82" s="28"/>
      <c r="B82" s="28"/>
      <c r="C82" s="28"/>
      <c r="D82" s="28"/>
      <c r="E82" s="58" t="s">
        <v>187</v>
      </c>
      <c r="F82" s="65" t="s">
        <v>188</v>
      </c>
    </row>
    <row r="83" spans="1:6" customFormat="1" ht="13.15" customHeight="1" x14ac:dyDescent="0.25">
      <c r="A83" s="28"/>
      <c r="B83" s="28"/>
      <c r="C83" s="28"/>
      <c r="D83" s="28"/>
      <c r="E83" s="58" t="s">
        <v>189</v>
      </c>
      <c r="F83" s="65" t="s">
        <v>190</v>
      </c>
    </row>
    <row r="84" spans="1:6" customFormat="1" ht="13.15" customHeight="1" x14ac:dyDescent="0.25">
      <c r="A84" s="28"/>
      <c r="B84" s="28"/>
      <c r="C84" s="28"/>
      <c r="D84" s="28"/>
      <c r="E84" s="58" t="s">
        <v>191</v>
      </c>
      <c r="F84" s="65" t="s">
        <v>192</v>
      </c>
    </row>
    <row r="85" spans="1:6" customFormat="1" ht="13.15" customHeight="1" x14ac:dyDescent="0.25">
      <c r="A85" s="28"/>
      <c r="B85" s="28"/>
      <c r="C85" s="28"/>
      <c r="D85" s="28"/>
      <c r="E85" s="58" t="s">
        <v>193</v>
      </c>
      <c r="F85" s="65" t="s">
        <v>194</v>
      </c>
    </row>
    <row r="86" spans="1:6" customFormat="1" ht="13.15" customHeight="1" x14ac:dyDescent="0.25">
      <c r="A86" s="28"/>
      <c r="B86" s="28"/>
      <c r="C86" s="28"/>
      <c r="D86" s="28"/>
      <c r="E86" s="58" t="s">
        <v>195</v>
      </c>
      <c r="F86" s="65" t="s">
        <v>196</v>
      </c>
    </row>
    <row r="87" spans="1:6" customFormat="1" ht="13.15" customHeight="1" x14ac:dyDescent="0.25">
      <c r="A87" s="28"/>
      <c r="B87" s="28"/>
      <c r="C87" s="28"/>
      <c r="D87" s="28"/>
      <c r="E87" s="58" t="s">
        <v>197</v>
      </c>
      <c r="F87" s="65" t="s">
        <v>198</v>
      </c>
    </row>
    <row r="88" spans="1:6" customFormat="1" ht="13.15" customHeight="1" x14ac:dyDescent="0.25">
      <c r="A88" s="28"/>
      <c r="B88" s="28"/>
      <c r="C88" s="28"/>
      <c r="D88" s="28"/>
      <c r="E88" s="58" t="s">
        <v>199</v>
      </c>
      <c r="F88" s="65" t="s">
        <v>200</v>
      </c>
    </row>
    <row r="89" spans="1:6" customFormat="1" ht="13.15" customHeight="1" x14ac:dyDescent="0.25">
      <c r="A89" s="28"/>
      <c r="B89" s="28"/>
      <c r="C89" s="28"/>
      <c r="D89" s="28"/>
      <c r="E89" s="58" t="s">
        <v>201</v>
      </c>
      <c r="F89" s="65" t="s">
        <v>202</v>
      </c>
    </row>
    <row r="90" spans="1:6" customFormat="1" ht="13.15" customHeight="1" x14ac:dyDescent="0.25">
      <c r="A90" s="28"/>
      <c r="B90" s="28"/>
      <c r="C90" s="28"/>
      <c r="D90" s="28"/>
      <c r="E90" s="58" t="s">
        <v>203</v>
      </c>
      <c r="F90" s="65" t="s">
        <v>204</v>
      </c>
    </row>
    <row r="91" spans="1:6" customFormat="1" ht="13.15" customHeight="1" x14ac:dyDescent="0.25">
      <c r="A91" s="28"/>
      <c r="B91" s="28"/>
      <c r="C91" s="28"/>
      <c r="D91" s="28"/>
      <c r="E91" s="58" t="s">
        <v>205</v>
      </c>
      <c r="F91" s="65" t="s">
        <v>206</v>
      </c>
    </row>
    <row r="92" spans="1:6" customFormat="1" ht="13.15" customHeight="1" x14ac:dyDescent="0.25">
      <c r="A92" s="28"/>
      <c r="B92" s="28"/>
      <c r="C92" s="28"/>
      <c r="D92" s="28"/>
      <c r="E92" s="58" t="s">
        <v>207</v>
      </c>
      <c r="F92" s="65" t="s">
        <v>208</v>
      </c>
    </row>
    <row r="93" spans="1:6" customFormat="1" ht="13.15" customHeight="1" x14ac:dyDescent="0.25">
      <c r="A93" s="28"/>
      <c r="B93" s="28"/>
      <c r="C93" s="28"/>
      <c r="D93" s="28"/>
      <c r="E93" s="58" t="s">
        <v>209</v>
      </c>
      <c r="F93" s="65" t="s">
        <v>210</v>
      </c>
    </row>
    <row r="94" spans="1:6" customFormat="1" ht="13.15" customHeight="1" x14ac:dyDescent="0.25">
      <c r="A94" s="28"/>
      <c r="B94" s="28"/>
      <c r="C94" s="28"/>
      <c r="D94" s="28"/>
      <c r="E94" s="58" t="s">
        <v>211</v>
      </c>
      <c r="F94" s="65" t="s">
        <v>212</v>
      </c>
    </row>
    <row r="95" spans="1:6" customFormat="1" ht="13.15" customHeight="1" x14ac:dyDescent="0.25">
      <c r="A95" s="28"/>
      <c r="B95" s="28"/>
      <c r="C95" s="28"/>
      <c r="D95" s="28"/>
      <c r="E95" s="58" t="s">
        <v>213</v>
      </c>
      <c r="F95" s="65" t="s">
        <v>214</v>
      </c>
    </row>
    <row r="96" spans="1:6" customFormat="1" ht="13.15" customHeight="1" x14ac:dyDescent="0.25">
      <c r="A96" s="28"/>
      <c r="B96" s="28"/>
      <c r="C96" s="28"/>
      <c r="D96" s="28"/>
      <c r="E96" s="58" t="s">
        <v>215</v>
      </c>
      <c r="F96" s="65" t="s">
        <v>216</v>
      </c>
    </row>
    <row r="97" spans="1:6" customFormat="1" ht="13.15" customHeight="1" x14ac:dyDescent="0.25">
      <c r="A97" s="28"/>
      <c r="B97" s="28"/>
      <c r="C97" s="28"/>
      <c r="D97" s="28"/>
      <c r="E97" s="58" t="s">
        <v>217</v>
      </c>
      <c r="F97" s="65" t="s">
        <v>218</v>
      </c>
    </row>
    <row r="98" spans="1:6" customFormat="1" ht="13.15" customHeight="1" x14ac:dyDescent="0.25">
      <c r="A98" s="28"/>
      <c r="B98" s="28"/>
      <c r="C98" s="28"/>
      <c r="D98" s="28"/>
      <c r="E98" s="58" t="s">
        <v>219</v>
      </c>
      <c r="F98" s="65" t="s">
        <v>220</v>
      </c>
    </row>
    <row r="99" spans="1:6" customFormat="1" ht="13.15" customHeight="1" x14ac:dyDescent="0.25">
      <c r="A99" s="28"/>
      <c r="B99" s="28"/>
      <c r="C99" s="28"/>
      <c r="D99" s="28"/>
      <c r="E99" s="58" t="s">
        <v>221</v>
      </c>
      <c r="F99" s="65" t="s">
        <v>222</v>
      </c>
    </row>
    <row r="100" spans="1:6" customFormat="1" ht="13.15" customHeight="1" x14ac:dyDescent="0.25">
      <c r="A100" s="28"/>
      <c r="B100" s="28"/>
      <c r="C100" s="28"/>
      <c r="D100" s="28"/>
      <c r="E100" s="58" t="s">
        <v>223</v>
      </c>
      <c r="F100" s="65" t="s">
        <v>224</v>
      </c>
    </row>
    <row r="101" spans="1:6" customFormat="1" ht="13.15" customHeight="1" x14ac:dyDescent="0.25">
      <c r="A101" s="28"/>
      <c r="B101" s="28"/>
      <c r="C101" s="28"/>
      <c r="D101" s="28"/>
      <c r="E101" s="58" t="s">
        <v>225</v>
      </c>
      <c r="F101" s="65" t="s">
        <v>226</v>
      </c>
    </row>
    <row r="102" spans="1:6" customFormat="1" ht="13.15" customHeight="1" x14ac:dyDescent="0.25">
      <c r="A102" s="28"/>
      <c r="B102" s="28"/>
      <c r="C102" s="28"/>
      <c r="D102" s="28"/>
      <c r="E102" s="58" t="s">
        <v>227</v>
      </c>
      <c r="F102" s="65" t="s">
        <v>228</v>
      </c>
    </row>
    <row r="103" spans="1:6" customFormat="1" ht="13.15" customHeight="1" x14ac:dyDescent="0.25">
      <c r="A103" s="28"/>
      <c r="B103" s="28"/>
      <c r="C103" s="28"/>
      <c r="D103" s="28"/>
      <c r="E103" s="58" t="s">
        <v>229</v>
      </c>
      <c r="F103" s="65" t="s">
        <v>230</v>
      </c>
    </row>
    <row r="104" spans="1:6" customFormat="1" ht="13.15" customHeight="1" x14ac:dyDescent="0.25">
      <c r="A104" s="28"/>
      <c r="B104" s="28"/>
      <c r="C104" s="28"/>
      <c r="D104" s="28"/>
      <c r="E104" s="58" t="s">
        <v>231</v>
      </c>
      <c r="F104" s="65" t="s">
        <v>232</v>
      </c>
    </row>
    <row r="105" spans="1:6" customFormat="1" ht="13.15" customHeight="1" x14ac:dyDescent="0.25">
      <c r="A105" s="28"/>
      <c r="B105" s="28"/>
      <c r="C105" s="28"/>
      <c r="D105" s="28"/>
      <c r="E105" s="58" t="s">
        <v>233</v>
      </c>
      <c r="F105" s="65" t="s">
        <v>234</v>
      </c>
    </row>
    <row r="106" spans="1:6" customFormat="1" ht="13.15" customHeight="1" x14ac:dyDescent="0.25">
      <c r="A106" s="28"/>
      <c r="B106" s="28"/>
      <c r="C106" s="28"/>
      <c r="D106" s="28"/>
      <c r="E106" s="58" t="s">
        <v>235</v>
      </c>
      <c r="F106" s="65" t="s">
        <v>236</v>
      </c>
    </row>
    <row r="107" spans="1:6" customFormat="1" ht="13.15" customHeight="1" x14ac:dyDescent="0.25">
      <c r="A107" s="28"/>
      <c r="B107" s="28"/>
      <c r="C107" s="28"/>
      <c r="D107" s="28"/>
      <c r="E107" s="58" t="s">
        <v>237</v>
      </c>
      <c r="F107" s="65" t="s">
        <v>238</v>
      </c>
    </row>
    <row r="108" spans="1:6" customFormat="1" ht="13.15" customHeight="1" x14ac:dyDescent="0.25">
      <c r="A108" s="28"/>
      <c r="B108" s="28"/>
      <c r="C108" s="28"/>
      <c r="D108" s="28"/>
      <c r="E108" s="58" t="s">
        <v>239</v>
      </c>
      <c r="F108" s="65" t="s">
        <v>240</v>
      </c>
    </row>
    <row r="109" spans="1:6" customFormat="1" ht="13.15" customHeight="1" x14ac:dyDescent="0.25">
      <c r="A109" s="28"/>
      <c r="B109" s="28"/>
      <c r="C109" s="28"/>
      <c r="D109" s="28"/>
      <c r="E109" s="58" t="s">
        <v>241</v>
      </c>
      <c r="F109" s="65" t="s">
        <v>242</v>
      </c>
    </row>
    <row r="110" spans="1:6" customFormat="1" ht="13.15" customHeight="1" x14ac:dyDescent="0.25">
      <c r="A110" s="28"/>
      <c r="B110" s="28"/>
      <c r="C110" s="28"/>
      <c r="D110" s="28"/>
      <c r="E110" s="58" t="s">
        <v>243</v>
      </c>
      <c r="F110" s="65" t="s">
        <v>244</v>
      </c>
    </row>
    <row r="111" spans="1:6" customFormat="1" ht="13.15" customHeight="1" x14ac:dyDescent="0.25">
      <c r="A111" s="28"/>
      <c r="B111" s="28"/>
      <c r="C111" s="28"/>
      <c r="D111" s="28"/>
      <c r="E111" s="58" t="s">
        <v>245</v>
      </c>
      <c r="F111" s="65" t="s">
        <v>246</v>
      </c>
    </row>
    <row r="112" spans="1:6" customFormat="1" ht="13.15" customHeight="1" x14ac:dyDescent="0.25">
      <c r="A112" s="28"/>
      <c r="B112" s="28"/>
      <c r="C112" s="28"/>
      <c r="D112" s="28"/>
      <c r="E112" s="58" t="s">
        <v>247</v>
      </c>
      <c r="F112" s="65" t="s">
        <v>248</v>
      </c>
    </row>
    <row r="113" spans="1:6" customFormat="1" ht="13.15" customHeight="1" x14ac:dyDescent="0.25">
      <c r="A113" s="28"/>
      <c r="B113" s="28"/>
      <c r="C113" s="28"/>
      <c r="D113" s="28"/>
      <c r="E113" s="58" t="s">
        <v>249</v>
      </c>
      <c r="F113" s="65" t="s">
        <v>250</v>
      </c>
    </row>
    <row r="114" spans="1:6" customFormat="1" ht="13.15" customHeight="1" x14ac:dyDescent="0.25">
      <c r="A114" s="28"/>
      <c r="B114" s="28"/>
      <c r="C114" s="28"/>
      <c r="D114" s="28"/>
      <c r="E114" s="58" t="s">
        <v>251</v>
      </c>
      <c r="F114" s="65" t="s">
        <v>252</v>
      </c>
    </row>
    <row r="115" spans="1:6" customFormat="1" ht="13.15" customHeight="1" x14ac:dyDescent="0.25">
      <c r="A115" s="28"/>
      <c r="B115" s="28"/>
      <c r="C115" s="28"/>
      <c r="D115" s="28"/>
      <c r="E115" s="58" t="s">
        <v>253</v>
      </c>
      <c r="F115" s="65" t="s">
        <v>254</v>
      </c>
    </row>
    <row r="116" spans="1:6" customFormat="1" ht="13.15" customHeight="1" x14ac:dyDescent="0.25">
      <c r="A116" s="28"/>
      <c r="B116" s="28"/>
      <c r="C116" s="28"/>
      <c r="D116" s="28"/>
      <c r="E116" s="58" t="s">
        <v>255</v>
      </c>
      <c r="F116" s="65" t="s">
        <v>256</v>
      </c>
    </row>
    <row r="117" spans="1:6" customFormat="1" ht="13.15" customHeight="1" x14ac:dyDescent="0.25">
      <c r="A117" s="28"/>
      <c r="B117" s="28"/>
      <c r="C117" s="28"/>
      <c r="D117" s="28"/>
      <c r="E117" s="58" t="s">
        <v>257</v>
      </c>
      <c r="F117" s="65" t="s">
        <v>258</v>
      </c>
    </row>
    <row r="118" spans="1:6" customFormat="1" ht="13.15" customHeight="1" x14ac:dyDescent="0.25">
      <c r="A118" s="28"/>
      <c r="B118" s="28"/>
      <c r="C118" s="28"/>
      <c r="D118" s="28"/>
      <c r="E118" s="58" t="s">
        <v>259</v>
      </c>
      <c r="F118" s="65" t="s">
        <v>260</v>
      </c>
    </row>
    <row r="119" spans="1:6" customFormat="1" ht="13.15" customHeight="1" x14ac:dyDescent="0.25">
      <c r="A119" s="28"/>
      <c r="B119" s="28"/>
      <c r="C119" s="28"/>
      <c r="D119" s="28"/>
      <c r="E119" s="58" t="s">
        <v>261</v>
      </c>
      <c r="F119" s="65" t="s">
        <v>262</v>
      </c>
    </row>
    <row r="120" spans="1:6" customFormat="1" ht="13.15" customHeight="1" x14ac:dyDescent="0.25">
      <c r="A120" s="28"/>
      <c r="B120" s="28"/>
      <c r="C120" s="28"/>
      <c r="D120" s="28"/>
      <c r="E120" s="58" t="s">
        <v>263</v>
      </c>
      <c r="F120" s="65" t="s">
        <v>264</v>
      </c>
    </row>
    <row r="121" spans="1:6" customFormat="1" ht="13.15" customHeight="1" x14ac:dyDescent="0.25">
      <c r="A121" s="28"/>
      <c r="B121" s="28"/>
      <c r="C121" s="28"/>
      <c r="D121" s="28"/>
      <c r="E121" s="58" t="s">
        <v>265</v>
      </c>
      <c r="F121" s="65" t="s">
        <v>266</v>
      </c>
    </row>
    <row r="122" spans="1:6" customFormat="1" ht="13.15" customHeight="1" x14ac:dyDescent="0.25">
      <c r="A122" s="28"/>
      <c r="B122" s="28"/>
      <c r="C122" s="28"/>
      <c r="D122" s="28"/>
      <c r="E122" s="58" t="s">
        <v>267</v>
      </c>
      <c r="F122" s="65" t="s">
        <v>268</v>
      </c>
    </row>
    <row r="123" spans="1:6" customFormat="1" ht="13.15" customHeight="1" x14ac:dyDescent="0.25">
      <c r="A123" s="28"/>
      <c r="B123" s="28"/>
      <c r="C123" s="28"/>
      <c r="D123" s="28"/>
      <c r="E123" s="58" t="s">
        <v>269</v>
      </c>
      <c r="F123" s="65" t="s">
        <v>270</v>
      </c>
    </row>
    <row r="124" spans="1:6" customFormat="1" ht="13.15" customHeight="1" x14ac:dyDescent="0.25">
      <c r="A124" s="28"/>
      <c r="B124" s="28"/>
      <c r="C124" s="28"/>
      <c r="D124" s="28"/>
      <c r="E124" s="58" t="s">
        <v>271</v>
      </c>
      <c r="F124" s="65" t="s">
        <v>272</v>
      </c>
    </row>
    <row r="125" spans="1:6" customFormat="1" ht="13.15" customHeight="1" x14ac:dyDescent="0.25">
      <c r="A125" s="28"/>
      <c r="B125" s="28"/>
      <c r="C125" s="28"/>
      <c r="D125" s="28"/>
      <c r="E125" s="58" t="s">
        <v>273</v>
      </c>
      <c r="F125" s="65" t="s">
        <v>274</v>
      </c>
    </row>
    <row r="126" spans="1:6" customFormat="1" ht="13.15" customHeight="1" x14ac:dyDescent="0.25">
      <c r="A126" s="28"/>
      <c r="B126" s="28"/>
      <c r="C126" s="28"/>
      <c r="D126" s="28"/>
      <c r="E126" s="58" t="s">
        <v>275</v>
      </c>
      <c r="F126" s="65" t="s">
        <v>276</v>
      </c>
    </row>
    <row r="127" spans="1:6" customFormat="1" ht="13.15" customHeight="1" x14ac:dyDescent="0.25">
      <c r="A127" s="28"/>
      <c r="B127" s="28"/>
      <c r="C127" s="28"/>
      <c r="D127" s="28"/>
      <c r="E127" s="58" t="s">
        <v>277</v>
      </c>
      <c r="F127" s="65" t="s">
        <v>278</v>
      </c>
    </row>
    <row r="128" spans="1:6" customFormat="1" ht="13.15" customHeight="1" x14ac:dyDescent="0.25">
      <c r="A128" s="28"/>
      <c r="B128" s="28"/>
      <c r="C128" s="28"/>
      <c r="D128" s="28"/>
      <c r="E128" s="58" t="s">
        <v>279</v>
      </c>
      <c r="F128" s="65" t="s">
        <v>280</v>
      </c>
    </row>
    <row r="129" spans="1:6" customFormat="1" ht="13.15" customHeight="1" x14ac:dyDescent="0.25">
      <c r="A129" s="28"/>
      <c r="B129" s="28"/>
      <c r="C129" s="28"/>
      <c r="D129" s="28"/>
      <c r="E129" s="58" t="s">
        <v>281</v>
      </c>
      <c r="F129" s="65" t="s">
        <v>282</v>
      </c>
    </row>
    <row r="130" spans="1:6" customFormat="1" ht="13.15" customHeight="1" x14ac:dyDescent="0.25">
      <c r="A130" s="28"/>
      <c r="B130" s="28"/>
      <c r="C130" s="28"/>
      <c r="D130" s="28"/>
      <c r="E130" s="58" t="s">
        <v>283</v>
      </c>
      <c r="F130" s="65" t="s">
        <v>284</v>
      </c>
    </row>
    <row r="131" spans="1:6" customFormat="1" ht="13.15" customHeight="1" x14ac:dyDescent="0.25">
      <c r="A131" s="28"/>
      <c r="B131" s="28"/>
      <c r="C131" s="28"/>
      <c r="D131" s="28"/>
      <c r="E131" s="58" t="s">
        <v>285</v>
      </c>
      <c r="F131" s="65" t="s">
        <v>286</v>
      </c>
    </row>
    <row r="132" spans="1:6" customFormat="1" ht="13.15" customHeight="1" x14ac:dyDescent="0.25">
      <c r="A132" s="28"/>
      <c r="B132" s="28"/>
      <c r="C132" s="28"/>
      <c r="D132" s="28"/>
      <c r="E132" s="58" t="s">
        <v>287</v>
      </c>
      <c r="F132" s="65" t="s">
        <v>288</v>
      </c>
    </row>
    <row r="133" spans="1:6" customFormat="1" ht="13.15" customHeight="1" x14ac:dyDescent="0.25">
      <c r="A133" s="28"/>
      <c r="B133" s="28"/>
      <c r="C133" s="28"/>
      <c r="D133" s="28"/>
      <c r="E133" s="58" t="s">
        <v>289</v>
      </c>
      <c r="F133" s="65" t="s">
        <v>290</v>
      </c>
    </row>
    <row r="134" spans="1:6" customFormat="1" ht="13.15" customHeight="1" x14ac:dyDescent="0.25">
      <c r="A134" s="28"/>
      <c r="B134" s="28"/>
      <c r="C134" s="28"/>
      <c r="D134" s="28"/>
      <c r="E134" s="58" t="s">
        <v>291</v>
      </c>
      <c r="F134" s="65" t="s">
        <v>292</v>
      </c>
    </row>
    <row r="135" spans="1:6" customFormat="1" ht="13.15" customHeight="1" x14ac:dyDescent="0.25">
      <c r="A135" s="28"/>
      <c r="B135" s="28"/>
      <c r="C135" s="28"/>
      <c r="D135" s="28"/>
      <c r="E135" s="58" t="s">
        <v>293</v>
      </c>
      <c r="F135" s="65" t="s">
        <v>294</v>
      </c>
    </row>
    <row r="136" spans="1:6" customFormat="1" ht="13.15" customHeight="1" x14ac:dyDescent="0.25">
      <c r="A136" s="28"/>
      <c r="B136" s="28"/>
      <c r="C136" s="28"/>
      <c r="D136" s="28"/>
      <c r="E136" s="58" t="s">
        <v>295</v>
      </c>
      <c r="F136" s="65" t="s">
        <v>296</v>
      </c>
    </row>
    <row r="137" spans="1:6" customFormat="1" ht="13.15" customHeight="1" x14ac:dyDescent="0.25">
      <c r="A137" s="28"/>
      <c r="B137" s="28"/>
      <c r="C137" s="28"/>
      <c r="D137" s="28"/>
      <c r="E137" s="58" t="s">
        <v>297</v>
      </c>
      <c r="F137" s="65" t="s">
        <v>298</v>
      </c>
    </row>
    <row r="138" spans="1:6" customFormat="1" ht="13.15" customHeight="1" x14ac:dyDescent="0.25">
      <c r="A138" s="28"/>
      <c r="B138" s="28"/>
      <c r="C138" s="28"/>
      <c r="D138" s="28"/>
      <c r="E138" s="58" t="s">
        <v>299</v>
      </c>
      <c r="F138" s="65" t="s">
        <v>300</v>
      </c>
    </row>
    <row r="139" spans="1:6" customFormat="1" ht="13.15" customHeight="1" x14ac:dyDescent="0.25">
      <c r="A139" s="28"/>
      <c r="B139" s="28"/>
      <c r="C139" s="28"/>
      <c r="D139" s="28"/>
      <c r="E139" s="58" t="s">
        <v>301</v>
      </c>
      <c r="F139" s="65" t="s">
        <v>302</v>
      </c>
    </row>
    <row r="140" spans="1:6" customFormat="1" ht="13.15" customHeight="1" x14ac:dyDescent="0.25">
      <c r="A140" s="28"/>
      <c r="B140" s="28"/>
      <c r="C140" s="28"/>
      <c r="D140" s="28"/>
      <c r="E140" s="58" t="s">
        <v>303</v>
      </c>
      <c r="F140" s="65" t="s">
        <v>304</v>
      </c>
    </row>
    <row r="141" spans="1:6" customFormat="1" ht="13.15" customHeight="1" x14ac:dyDescent="0.25">
      <c r="A141" s="28"/>
      <c r="B141" s="28"/>
      <c r="C141" s="28"/>
      <c r="D141" s="28"/>
      <c r="E141" s="58" t="s">
        <v>305</v>
      </c>
      <c r="F141" s="65" t="s">
        <v>306</v>
      </c>
    </row>
    <row r="142" spans="1:6" customFormat="1" ht="13.15" customHeight="1" x14ac:dyDescent="0.25">
      <c r="A142" s="28"/>
      <c r="B142" s="28"/>
      <c r="C142" s="28"/>
      <c r="D142" s="28"/>
      <c r="E142" s="58" t="s">
        <v>307</v>
      </c>
      <c r="F142" s="65" t="s">
        <v>308</v>
      </c>
    </row>
    <row r="143" spans="1:6" customFormat="1" ht="13.15" customHeight="1" x14ac:dyDescent="0.25">
      <c r="A143" s="28"/>
      <c r="B143" s="28"/>
      <c r="C143" s="28"/>
      <c r="D143" s="28"/>
      <c r="E143" s="58" t="s">
        <v>309</v>
      </c>
      <c r="F143" s="65" t="s">
        <v>310</v>
      </c>
    </row>
    <row r="144" spans="1:6" customFormat="1" ht="13.15" customHeight="1" x14ac:dyDescent="0.25">
      <c r="A144" s="28"/>
      <c r="B144" s="28"/>
      <c r="C144" s="28"/>
      <c r="D144" s="28"/>
      <c r="E144" s="58" t="s">
        <v>311</v>
      </c>
      <c r="F144" s="65" t="s">
        <v>312</v>
      </c>
    </row>
    <row r="145" spans="1:6" customFormat="1" ht="13.15" customHeight="1" x14ac:dyDescent="0.25">
      <c r="A145" s="28"/>
      <c r="B145" s="28"/>
      <c r="C145" s="28"/>
      <c r="D145" s="28"/>
      <c r="E145" s="58" t="s">
        <v>313</v>
      </c>
      <c r="F145" s="65" t="s">
        <v>314</v>
      </c>
    </row>
    <row r="146" spans="1:6" customFormat="1" ht="13.15" customHeight="1" x14ac:dyDescent="0.25">
      <c r="A146" s="28"/>
      <c r="B146" s="28"/>
      <c r="C146" s="28"/>
      <c r="D146" s="28"/>
      <c r="E146" s="58" t="s">
        <v>315</v>
      </c>
      <c r="F146" s="65" t="s">
        <v>316</v>
      </c>
    </row>
    <row r="147" spans="1:6" customFormat="1" ht="13.15" customHeight="1" x14ac:dyDescent="0.25">
      <c r="A147" s="28"/>
      <c r="B147" s="28"/>
      <c r="C147" s="28"/>
      <c r="D147" s="28"/>
      <c r="E147" s="58" t="s">
        <v>317</v>
      </c>
      <c r="F147" s="65" t="s">
        <v>318</v>
      </c>
    </row>
    <row r="148" spans="1:6" customFormat="1" ht="13.15" customHeight="1" x14ac:dyDescent="0.25">
      <c r="A148" s="28"/>
      <c r="B148" s="28"/>
      <c r="C148" s="28"/>
      <c r="D148" s="28"/>
      <c r="E148" s="58" t="s">
        <v>319</v>
      </c>
      <c r="F148" s="65" t="s">
        <v>320</v>
      </c>
    </row>
    <row r="149" spans="1:6" customFormat="1" ht="13.15" customHeight="1" x14ac:dyDescent="0.25">
      <c r="A149" s="28"/>
      <c r="B149" s="28"/>
      <c r="C149" s="28"/>
      <c r="D149" s="28"/>
      <c r="E149" s="58" t="s">
        <v>321</v>
      </c>
      <c r="F149" s="65" t="s">
        <v>322</v>
      </c>
    </row>
    <row r="150" spans="1:6" customFormat="1" ht="13.15" customHeight="1" x14ac:dyDescent="0.25">
      <c r="A150" s="28"/>
      <c r="B150" s="28"/>
      <c r="C150" s="28"/>
      <c r="D150" s="28"/>
      <c r="E150" s="58" t="s">
        <v>323</v>
      </c>
      <c r="F150" s="65" t="s">
        <v>324</v>
      </c>
    </row>
    <row r="151" spans="1:6" customFormat="1" ht="13.15" customHeight="1" x14ac:dyDescent="0.25">
      <c r="A151" s="28"/>
      <c r="B151" s="28"/>
      <c r="C151" s="28"/>
      <c r="D151" s="28"/>
      <c r="E151" s="58" t="s">
        <v>325</v>
      </c>
      <c r="F151" s="65" t="s">
        <v>326</v>
      </c>
    </row>
    <row r="152" spans="1:6" customFormat="1" ht="13.15" customHeight="1" x14ac:dyDescent="0.25">
      <c r="A152" s="28"/>
      <c r="B152" s="28"/>
      <c r="C152" s="28"/>
      <c r="D152" s="28"/>
      <c r="E152" s="58" t="s">
        <v>327</v>
      </c>
      <c r="F152" s="65" t="s">
        <v>328</v>
      </c>
    </row>
    <row r="153" spans="1:6" customFormat="1" ht="13.15" customHeight="1" x14ac:dyDescent="0.25">
      <c r="A153" s="28"/>
      <c r="B153" s="28"/>
      <c r="C153" s="28"/>
      <c r="D153" s="28"/>
      <c r="E153" s="58" t="s">
        <v>329</v>
      </c>
      <c r="F153" s="65" t="s">
        <v>330</v>
      </c>
    </row>
    <row r="154" spans="1:6" customFormat="1" ht="13.15" customHeight="1" x14ac:dyDescent="0.25">
      <c r="A154" s="28"/>
      <c r="B154" s="28"/>
      <c r="C154" s="28"/>
      <c r="D154" s="28"/>
      <c r="E154" s="58" t="s">
        <v>331</v>
      </c>
      <c r="F154" s="65" t="s">
        <v>332</v>
      </c>
    </row>
    <row r="155" spans="1:6" customFormat="1" ht="13.15" customHeight="1" x14ac:dyDescent="0.25">
      <c r="A155" s="28"/>
      <c r="B155" s="28"/>
      <c r="C155" s="28"/>
      <c r="D155" s="28"/>
      <c r="E155" s="58" t="s">
        <v>333</v>
      </c>
      <c r="F155" s="65" t="s">
        <v>334</v>
      </c>
    </row>
    <row r="156" spans="1:6" customFormat="1" ht="13.15" customHeight="1" x14ac:dyDescent="0.25">
      <c r="A156" s="28"/>
      <c r="B156" s="28"/>
      <c r="C156" s="28"/>
      <c r="D156" s="28"/>
      <c r="E156" s="58" t="s">
        <v>335</v>
      </c>
      <c r="F156" s="65" t="s">
        <v>336</v>
      </c>
    </row>
    <row r="157" spans="1:6" customFormat="1" ht="13.15" customHeight="1" x14ac:dyDescent="0.25">
      <c r="A157" s="28"/>
      <c r="B157" s="28"/>
      <c r="C157" s="28"/>
      <c r="D157" s="28"/>
      <c r="E157" s="58" t="s">
        <v>337</v>
      </c>
      <c r="F157" s="65" t="s">
        <v>338</v>
      </c>
    </row>
    <row r="158" spans="1:6" customFormat="1" ht="13.15" customHeight="1" x14ac:dyDescent="0.25">
      <c r="A158" s="28"/>
      <c r="B158" s="28"/>
      <c r="C158" s="28"/>
      <c r="D158" s="28"/>
      <c r="E158" s="58" t="s">
        <v>339</v>
      </c>
      <c r="F158" s="65" t="s">
        <v>340</v>
      </c>
    </row>
    <row r="159" spans="1:6" customFormat="1" ht="13.15" customHeight="1" x14ac:dyDescent="0.25">
      <c r="A159" s="28"/>
      <c r="B159" s="28"/>
      <c r="C159" s="28"/>
      <c r="D159" s="28"/>
      <c r="E159" s="58" t="s">
        <v>341</v>
      </c>
      <c r="F159" s="65" t="s">
        <v>342</v>
      </c>
    </row>
    <row r="160" spans="1:6" customFormat="1" ht="13.15" customHeight="1" x14ac:dyDescent="0.25">
      <c r="A160" s="28"/>
      <c r="B160" s="28"/>
      <c r="C160" s="28"/>
      <c r="D160" s="28"/>
      <c r="E160" s="58" t="s">
        <v>343</v>
      </c>
      <c r="F160" s="65" t="s">
        <v>344</v>
      </c>
    </row>
    <row r="161" spans="1:6" customFormat="1" ht="13.15" customHeight="1" x14ac:dyDescent="0.25">
      <c r="A161" s="28"/>
      <c r="B161" s="28"/>
      <c r="C161" s="28"/>
      <c r="D161" s="28"/>
      <c r="E161" s="58" t="s">
        <v>345</v>
      </c>
      <c r="F161" s="65" t="s">
        <v>346</v>
      </c>
    </row>
    <row r="162" spans="1:6" customFormat="1" ht="13.15" customHeight="1" x14ac:dyDescent="0.25">
      <c r="A162" s="28"/>
      <c r="B162" s="28"/>
      <c r="C162" s="28"/>
      <c r="D162" s="28"/>
      <c r="E162" s="58" t="s">
        <v>347</v>
      </c>
      <c r="F162" s="65" t="s">
        <v>348</v>
      </c>
    </row>
    <row r="163" spans="1:6" customFormat="1" ht="13.15" customHeight="1" x14ac:dyDescent="0.25">
      <c r="A163" s="28"/>
      <c r="B163" s="28"/>
      <c r="C163" s="28"/>
      <c r="D163" s="28"/>
      <c r="E163" s="58" t="s">
        <v>349</v>
      </c>
      <c r="F163" s="65" t="s">
        <v>350</v>
      </c>
    </row>
    <row r="164" spans="1:6" customFormat="1" ht="13.15" customHeight="1" x14ac:dyDescent="0.25">
      <c r="A164" s="28"/>
      <c r="B164" s="28"/>
      <c r="C164" s="28"/>
      <c r="D164" s="28"/>
      <c r="E164" s="58" t="s">
        <v>351</v>
      </c>
      <c r="F164" s="65" t="s">
        <v>352</v>
      </c>
    </row>
    <row r="165" spans="1:6" customFormat="1" ht="13.15" customHeight="1" x14ac:dyDescent="0.25">
      <c r="A165" s="28"/>
      <c r="B165" s="28"/>
      <c r="C165" s="28"/>
      <c r="D165" s="28"/>
      <c r="E165" s="58" t="s">
        <v>353</v>
      </c>
      <c r="F165" s="65" t="s">
        <v>354</v>
      </c>
    </row>
    <row r="166" spans="1:6" customFormat="1" ht="13.15" customHeight="1" x14ac:dyDescent="0.25">
      <c r="A166" s="28"/>
      <c r="B166" s="28"/>
      <c r="C166" s="28"/>
      <c r="D166" s="28"/>
      <c r="E166" s="58" t="s">
        <v>355</v>
      </c>
      <c r="F166" s="65" t="s">
        <v>356</v>
      </c>
    </row>
    <row r="167" spans="1:6" customFormat="1" ht="13.15" customHeight="1" x14ac:dyDescent="0.25">
      <c r="A167" s="28"/>
      <c r="B167" s="28"/>
      <c r="C167" s="28"/>
      <c r="D167" s="28"/>
      <c r="E167" s="58" t="s">
        <v>357</v>
      </c>
      <c r="F167" s="65" t="s">
        <v>358</v>
      </c>
    </row>
    <row r="168" spans="1:6" customFormat="1" ht="13.15" customHeight="1" x14ac:dyDescent="0.25">
      <c r="A168" s="28"/>
      <c r="B168" s="28"/>
      <c r="C168" s="28"/>
      <c r="D168" s="28"/>
      <c r="E168" s="58" t="s">
        <v>359</v>
      </c>
      <c r="F168" s="65" t="s">
        <v>360</v>
      </c>
    </row>
    <row r="169" spans="1:6" customFormat="1" ht="13.15" customHeight="1" x14ac:dyDescent="0.25">
      <c r="A169" s="28"/>
      <c r="B169" s="28"/>
      <c r="C169" s="28"/>
      <c r="D169" s="28"/>
      <c r="E169" s="58" t="s">
        <v>361</v>
      </c>
      <c r="F169" s="65" t="s">
        <v>362</v>
      </c>
    </row>
    <row r="170" spans="1:6" customFormat="1" ht="13.15" customHeight="1" x14ac:dyDescent="0.25">
      <c r="A170" s="28"/>
      <c r="B170" s="28"/>
      <c r="C170" s="28"/>
      <c r="D170" s="28"/>
      <c r="E170" s="58" t="s">
        <v>363</v>
      </c>
      <c r="F170" s="65" t="s">
        <v>364</v>
      </c>
    </row>
    <row r="171" spans="1:6" customFormat="1" ht="13.15" customHeight="1" x14ac:dyDescent="0.25">
      <c r="A171" s="28"/>
      <c r="B171" s="28"/>
      <c r="C171" s="28"/>
      <c r="D171" s="28"/>
      <c r="E171" s="58" t="s">
        <v>365</v>
      </c>
      <c r="F171" s="65" t="s">
        <v>366</v>
      </c>
    </row>
    <row r="172" spans="1:6" customFormat="1" ht="13.15" customHeight="1" x14ac:dyDescent="0.25">
      <c r="A172" s="28"/>
      <c r="B172" s="28"/>
      <c r="C172" s="28"/>
      <c r="D172" s="28"/>
      <c r="E172" s="58" t="s">
        <v>367</v>
      </c>
      <c r="F172" s="65" t="s">
        <v>368</v>
      </c>
    </row>
    <row r="173" spans="1:6" customFormat="1" ht="13.15" customHeight="1" x14ac:dyDescent="0.25">
      <c r="A173" s="28"/>
      <c r="B173" s="28"/>
      <c r="C173" s="28"/>
      <c r="D173" s="28"/>
      <c r="E173" s="58" t="s">
        <v>369</v>
      </c>
      <c r="F173" s="65" t="s">
        <v>370</v>
      </c>
    </row>
    <row r="174" spans="1:6" customFormat="1" ht="13.15" customHeight="1" x14ac:dyDescent="0.25">
      <c r="A174" s="28"/>
      <c r="B174" s="28"/>
      <c r="C174" s="28"/>
      <c r="D174" s="28"/>
      <c r="E174" s="58" t="s">
        <v>371</v>
      </c>
      <c r="F174" s="65" t="s">
        <v>372</v>
      </c>
    </row>
    <row r="175" spans="1:6" customFormat="1" ht="13.15" customHeight="1" x14ac:dyDescent="0.25">
      <c r="A175" s="28"/>
      <c r="B175" s="28"/>
      <c r="C175" s="28"/>
      <c r="D175" s="28"/>
      <c r="E175" s="58" t="s">
        <v>373</v>
      </c>
      <c r="F175" s="65" t="s">
        <v>374</v>
      </c>
    </row>
    <row r="176" spans="1:6" customFormat="1" ht="13.15" customHeight="1" x14ac:dyDescent="0.25">
      <c r="A176" s="28"/>
      <c r="B176" s="28"/>
      <c r="C176" s="28"/>
      <c r="D176" s="28"/>
      <c r="E176" s="58" t="s">
        <v>375</v>
      </c>
      <c r="F176" s="65" t="s">
        <v>376</v>
      </c>
    </row>
    <row r="177" spans="1:6" customFormat="1" ht="13.15" customHeight="1" x14ac:dyDescent="0.25">
      <c r="A177" s="28"/>
      <c r="B177" s="28"/>
      <c r="C177" s="28"/>
      <c r="D177" s="28"/>
      <c r="E177" s="58" t="s">
        <v>377</v>
      </c>
      <c r="F177" s="65" t="s">
        <v>378</v>
      </c>
    </row>
    <row r="178" spans="1:6" customFormat="1" ht="13.15" customHeight="1" x14ac:dyDescent="0.25">
      <c r="A178" s="28"/>
      <c r="B178" s="28"/>
      <c r="C178" s="28"/>
      <c r="D178" s="28"/>
      <c r="E178" s="58" t="s">
        <v>379</v>
      </c>
      <c r="F178" s="65" t="s">
        <v>380</v>
      </c>
    </row>
    <row r="179" spans="1:6" customFormat="1" ht="13.15" customHeight="1" x14ac:dyDescent="0.25">
      <c r="A179" s="28"/>
      <c r="B179" s="28"/>
      <c r="C179" s="28"/>
      <c r="D179" s="28"/>
      <c r="E179" s="58" t="s">
        <v>381</v>
      </c>
      <c r="F179" s="65" t="s">
        <v>382</v>
      </c>
    </row>
    <row r="180" spans="1:6" customFormat="1" ht="13.15" customHeight="1" x14ac:dyDescent="0.25">
      <c r="A180" s="28"/>
      <c r="B180" s="28"/>
      <c r="C180" s="28"/>
      <c r="D180" s="28"/>
      <c r="E180" s="58" t="s">
        <v>383</v>
      </c>
      <c r="F180" s="65">
        <v>1200137</v>
      </c>
    </row>
    <row r="181" spans="1:6" customFormat="1" ht="13.15" customHeight="1" x14ac:dyDescent="0.25">
      <c r="A181" s="28"/>
      <c r="B181" s="28"/>
      <c r="C181" s="28"/>
      <c r="D181" s="28"/>
      <c r="E181" s="58" t="s">
        <v>384</v>
      </c>
      <c r="F181" s="65" t="s">
        <v>385</v>
      </c>
    </row>
    <row r="182" spans="1:6" customFormat="1" ht="13.15" customHeight="1" x14ac:dyDescent="0.25">
      <c r="A182" s="28"/>
      <c r="B182" s="28"/>
      <c r="C182" s="28"/>
      <c r="D182" s="28"/>
      <c r="E182" s="58" t="s">
        <v>386</v>
      </c>
      <c r="F182" s="65" t="s">
        <v>387</v>
      </c>
    </row>
    <row r="183" spans="1:6" customFormat="1" ht="13.15" customHeight="1" x14ac:dyDescent="0.25">
      <c r="A183" s="28"/>
      <c r="B183" s="28"/>
      <c r="C183" s="28"/>
      <c r="D183" s="28"/>
      <c r="E183" s="58" t="s">
        <v>388</v>
      </c>
      <c r="F183" s="65" t="s">
        <v>389</v>
      </c>
    </row>
    <row r="184" spans="1:6" customFormat="1" ht="13.15" customHeight="1" x14ac:dyDescent="0.25">
      <c r="A184" s="28"/>
      <c r="B184" s="28"/>
      <c r="C184" s="28"/>
      <c r="D184" s="28"/>
      <c r="E184" s="58" t="s">
        <v>390</v>
      </c>
      <c r="F184" s="65" t="s">
        <v>391</v>
      </c>
    </row>
    <row r="185" spans="1:6" customFormat="1" ht="13.15" customHeight="1" x14ac:dyDescent="0.25">
      <c r="A185" s="28"/>
      <c r="B185" s="28"/>
      <c r="C185" s="28"/>
      <c r="D185" s="28"/>
      <c r="E185" s="58" t="s">
        <v>392</v>
      </c>
      <c r="F185" s="65" t="s">
        <v>393</v>
      </c>
    </row>
    <row r="186" spans="1:6" customFormat="1" ht="13.15" customHeight="1" x14ac:dyDescent="0.25">
      <c r="A186" s="28"/>
      <c r="B186" s="28"/>
      <c r="C186" s="28"/>
      <c r="D186" s="28"/>
      <c r="E186" s="58" t="s">
        <v>394</v>
      </c>
      <c r="F186" s="65" t="s">
        <v>395</v>
      </c>
    </row>
    <row r="187" spans="1:6" customFormat="1" ht="13.15" customHeight="1" x14ac:dyDescent="0.25">
      <c r="A187" s="28"/>
      <c r="B187" s="28"/>
      <c r="C187" s="28"/>
      <c r="D187" s="28"/>
      <c r="E187" s="58" t="s">
        <v>396</v>
      </c>
      <c r="F187" s="65" t="s">
        <v>397</v>
      </c>
    </row>
    <row r="188" spans="1:6" customFormat="1" ht="13.15" customHeight="1" x14ac:dyDescent="0.25">
      <c r="A188" s="28"/>
      <c r="B188" s="28"/>
      <c r="C188" s="28"/>
      <c r="D188" s="28"/>
      <c r="E188" s="58" t="s">
        <v>398</v>
      </c>
      <c r="F188" s="65" t="s">
        <v>399</v>
      </c>
    </row>
    <row r="189" spans="1:6" customFormat="1" ht="13.15" customHeight="1" x14ac:dyDescent="0.25">
      <c r="A189" s="28"/>
      <c r="B189" s="28"/>
      <c r="C189" s="28"/>
      <c r="D189" s="28"/>
      <c r="E189" s="58" t="s">
        <v>400</v>
      </c>
      <c r="F189" s="65" t="s">
        <v>401</v>
      </c>
    </row>
    <row r="190" spans="1:6" customFormat="1" ht="13.15" customHeight="1" x14ac:dyDescent="0.25">
      <c r="A190" s="28"/>
      <c r="B190" s="28"/>
      <c r="C190" s="28"/>
      <c r="D190" s="28"/>
      <c r="E190" s="58" t="s">
        <v>402</v>
      </c>
      <c r="F190" s="65" t="s">
        <v>403</v>
      </c>
    </row>
    <row r="191" spans="1:6" customFormat="1" ht="13.15" customHeight="1" x14ac:dyDescent="0.25">
      <c r="A191" s="28"/>
      <c r="B191" s="28"/>
      <c r="C191" s="28"/>
      <c r="D191" s="28"/>
      <c r="E191" s="58" t="s">
        <v>404</v>
      </c>
      <c r="F191" s="65" t="s">
        <v>405</v>
      </c>
    </row>
    <row r="192" spans="1:6" customFormat="1" ht="13.15" customHeight="1" x14ac:dyDescent="0.25">
      <c r="A192" s="28"/>
      <c r="B192" s="28"/>
      <c r="C192" s="28"/>
      <c r="D192" s="28"/>
      <c r="E192" s="58" t="s">
        <v>406</v>
      </c>
      <c r="F192" s="65" t="s">
        <v>407</v>
      </c>
    </row>
    <row r="193" spans="1:6" customFormat="1" ht="13.15" customHeight="1" x14ac:dyDescent="0.25">
      <c r="A193" s="28"/>
      <c r="B193" s="28"/>
      <c r="C193" s="28"/>
      <c r="D193" s="28"/>
      <c r="E193" s="58" t="s">
        <v>408</v>
      </c>
      <c r="F193" s="65" t="s">
        <v>409</v>
      </c>
    </row>
    <row r="194" spans="1:6" customFormat="1" ht="13.15" customHeight="1" x14ac:dyDescent="0.25">
      <c r="A194" s="28"/>
      <c r="B194" s="28"/>
      <c r="C194" s="28"/>
      <c r="D194" s="28"/>
      <c r="E194" s="58" t="s">
        <v>410</v>
      </c>
      <c r="F194" s="65" t="s">
        <v>411</v>
      </c>
    </row>
    <row r="195" spans="1:6" customFormat="1" ht="13.15" customHeight="1" x14ac:dyDescent="0.25">
      <c r="A195" s="28"/>
      <c r="B195" s="28"/>
      <c r="C195" s="28"/>
      <c r="D195" s="28"/>
      <c r="E195" s="58" t="s">
        <v>412</v>
      </c>
      <c r="F195" s="65" t="s">
        <v>413</v>
      </c>
    </row>
    <row r="196" spans="1:6" customFormat="1" ht="13.15" customHeight="1" x14ac:dyDescent="0.25">
      <c r="A196" s="28"/>
      <c r="B196" s="28"/>
      <c r="C196" s="28"/>
      <c r="D196" s="28"/>
      <c r="E196" s="58" t="s">
        <v>414</v>
      </c>
      <c r="F196" s="65" t="s">
        <v>415</v>
      </c>
    </row>
    <row r="197" spans="1:6" customFormat="1" ht="13.15" customHeight="1" x14ac:dyDescent="0.25">
      <c r="A197" s="28"/>
      <c r="B197" s="28"/>
      <c r="C197" s="28"/>
      <c r="D197" s="28"/>
      <c r="E197" s="58" t="s">
        <v>416</v>
      </c>
      <c r="F197" s="65" t="s">
        <v>417</v>
      </c>
    </row>
    <row r="198" spans="1:6" customFormat="1" ht="13.15" customHeight="1" x14ac:dyDescent="0.25">
      <c r="A198" s="28"/>
      <c r="B198" s="28"/>
      <c r="C198" s="28"/>
      <c r="D198" s="28"/>
      <c r="E198" s="58" t="s">
        <v>418</v>
      </c>
      <c r="F198" s="65" t="s">
        <v>419</v>
      </c>
    </row>
    <row r="199" spans="1:6" customFormat="1" ht="13.15" customHeight="1" x14ac:dyDescent="0.25">
      <c r="A199" s="28"/>
      <c r="B199" s="28"/>
      <c r="C199" s="28"/>
      <c r="D199" s="28"/>
      <c r="E199" s="58" t="s">
        <v>420</v>
      </c>
      <c r="F199" s="65" t="s">
        <v>421</v>
      </c>
    </row>
    <row r="200" spans="1:6" customFormat="1" ht="13.15" customHeight="1" x14ac:dyDescent="0.25">
      <c r="A200" s="28"/>
      <c r="B200" s="28"/>
      <c r="C200" s="28"/>
      <c r="D200" s="28"/>
      <c r="E200" s="58" t="s">
        <v>422</v>
      </c>
      <c r="F200" s="65" t="s">
        <v>423</v>
      </c>
    </row>
    <row r="201" spans="1:6" customFormat="1" ht="13.15" customHeight="1" x14ac:dyDescent="0.25">
      <c r="A201" s="28"/>
      <c r="B201" s="28"/>
      <c r="C201" s="28"/>
      <c r="D201" s="28"/>
      <c r="E201" s="58" t="s">
        <v>424</v>
      </c>
      <c r="F201" s="65" t="s">
        <v>425</v>
      </c>
    </row>
    <row r="202" spans="1:6" customFormat="1" ht="13.15" customHeight="1" x14ac:dyDescent="0.25">
      <c r="A202" s="28"/>
      <c r="B202" s="28"/>
      <c r="C202" s="28"/>
      <c r="D202" s="28"/>
      <c r="E202" s="58" t="s">
        <v>426</v>
      </c>
      <c r="F202" s="65" t="s">
        <v>427</v>
      </c>
    </row>
    <row r="203" spans="1:6" customFormat="1" ht="13.15" customHeight="1" x14ac:dyDescent="0.25">
      <c r="A203" s="28"/>
      <c r="B203" s="28"/>
      <c r="C203" s="28"/>
      <c r="D203" s="28"/>
      <c r="E203" s="58" t="s">
        <v>428</v>
      </c>
      <c r="F203" s="65" t="s">
        <v>429</v>
      </c>
    </row>
    <row r="204" spans="1:6" customFormat="1" ht="13.15" customHeight="1" x14ac:dyDescent="0.25">
      <c r="A204" s="28"/>
      <c r="B204" s="28"/>
      <c r="C204" s="28"/>
      <c r="D204" s="28"/>
      <c r="E204" s="58" t="s">
        <v>430</v>
      </c>
      <c r="F204" s="65" t="s">
        <v>431</v>
      </c>
    </row>
    <row r="205" spans="1:6" customFormat="1" ht="13.15" customHeight="1" x14ac:dyDescent="0.25">
      <c r="A205" s="28"/>
      <c r="B205" s="28"/>
      <c r="C205" s="28"/>
      <c r="D205" s="28"/>
      <c r="E205" s="58" t="s">
        <v>432</v>
      </c>
      <c r="F205" s="65" t="s">
        <v>433</v>
      </c>
    </row>
    <row r="206" spans="1:6" customFormat="1" ht="13.15" customHeight="1" x14ac:dyDescent="0.25">
      <c r="A206" s="28"/>
      <c r="B206" s="28"/>
      <c r="C206" s="28"/>
      <c r="D206" s="28"/>
      <c r="E206" s="58" t="s">
        <v>434</v>
      </c>
      <c r="F206" s="65" t="s">
        <v>435</v>
      </c>
    </row>
    <row r="207" spans="1:6" customFormat="1" ht="13.15" customHeight="1" x14ac:dyDescent="0.25">
      <c r="A207" s="28"/>
      <c r="B207" s="28"/>
      <c r="C207" s="28"/>
      <c r="D207" s="28"/>
      <c r="E207" s="58" t="s">
        <v>436</v>
      </c>
      <c r="F207" s="65" t="s">
        <v>437</v>
      </c>
    </row>
    <row r="208" spans="1:6" customFormat="1" ht="13.15" customHeight="1" x14ac:dyDescent="0.25">
      <c r="A208" s="28"/>
      <c r="B208" s="28"/>
      <c r="C208" s="28"/>
      <c r="D208" s="28"/>
      <c r="E208" s="58" t="s">
        <v>438</v>
      </c>
      <c r="F208" s="65" t="s">
        <v>439</v>
      </c>
    </row>
    <row r="209" spans="1:6" customFormat="1" ht="13.15" customHeight="1" x14ac:dyDescent="0.25">
      <c r="A209" s="28"/>
      <c r="B209" s="28"/>
      <c r="C209" s="28"/>
      <c r="D209" s="28"/>
      <c r="E209" s="58" t="s">
        <v>440</v>
      </c>
      <c r="F209" s="65" t="s">
        <v>441</v>
      </c>
    </row>
    <row r="210" spans="1:6" customFormat="1" ht="13.15" customHeight="1" x14ac:dyDescent="0.25">
      <c r="A210" s="28"/>
      <c r="B210" s="28"/>
      <c r="C210" s="28"/>
      <c r="D210" s="28"/>
      <c r="E210" s="58" t="s">
        <v>8</v>
      </c>
      <c r="F210" s="65" t="s">
        <v>442</v>
      </c>
    </row>
    <row r="211" spans="1:6" customFormat="1" ht="13.15" customHeight="1" x14ac:dyDescent="0.25">
      <c r="A211" s="28"/>
      <c r="B211" s="28"/>
      <c r="C211" s="28"/>
      <c r="D211" s="28"/>
      <c r="E211" s="58" t="s">
        <v>443</v>
      </c>
      <c r="F211" s="65" t="s">
        <v>444</v>
      </c>
    </row>
    <row r="212" spans="1:6" customFormat="1" ht="13.15" customHeight="1" x14ac:dyDescent="0.25">
      <c r="A212" s="28"/>
      <c r="B212" s="28"/>
      <c r="C212" s="28"/>
      <c r="D212" s="28"/>
      <c r="E212" s="58" t="s">
        <v>445</v>
      </c>
      <c r="F212" s="65" t="s">
        <v>446</v>
      </c>
    </row>
    <row r="213" spans="1:6" customFormat="1" ht="13.15" customHeight="1" x14ac:dyDescent="0.25">
      <c r="A213" s="28"/>
      <c r="B213" s="28"/>
      <c r="C213" s="28"/>
      <c r="D213" s="28"/>
      <c r="E213" s="58" t="s">
        <v>31</v>
      </c>
      <c r="F213" s="65" t="s">
        <v>447</v>
      </c>
    </row>
    <row r="214" spans="1:6" customFormat="1" ht="13.15" customHeight="1" x14ac:dyDescent="0.25">
      <c r="A214" s="28"/>
      <c r="B214" s="28"/>
      <c r="C214" s="28"/>
      <c r="D214" s="28"/>
      <c r="E214" s="58" t="s">
        <v>448</v>
      </c>
      <c r="F214" s="65" t="s">
        <v>449</v>
      </c>
    </row>
    <row r="215" spans="1:6" customFormat="1" ht="13.15" customHeight="1" x14ac:dyDescent="0.25">
      <c r="A215" s="28"/>
      <c r="B215" s="28"/>
      <c r="C215" s="28"/>
      <c r="D215" s="28"/>
      <c r="E215" s="58" t="s">
        <v>450</v>
      </c>
      <c r="F215" s="65" t="s">
        <v>451</v>
      </c>
    </row>
    <row r="216" spans="1:6" customFormat="1" ht="13.15" customHeight="1" x14ac:dyDescent="0.25">
      <c r="A216" s="28"/>
      <c r="B216" s="28"/>
      <c r="C216" s="28"/>
      <c r="D216" s="28"/>
      <c r="E216" s="58" t="s">
        <v>452</v>
      </c>
      <c r="F216" s="65" t="s">
        <v>453</v>
      </c>
    </row>
    <row r="217" spans="1:6" customFormat="1" ht="13.15" customHeight="1" x14ac:dyDescent="0.25">
      <c r="A217" s="28"/>
      <c r="B217" s="28"/>
      <c r="C217" s="28"/>
      <c r="D217" s="28"/>
      <c r="E217" s="58" t="s">
        <v>454</v>
      </c>
      <c r="F217" s="65" t="s">
        <v>455</v>
      </c>
    </row>
    <row r="218" spans="1:6" customFormat="1" ht="13.15" customHeight="1" x14ac:dyDescent="0.25">
      <c r="A218" s="28"/>
      <c r="B218" s="28"/>
      <c r="C218" s="28"/>
      <c r="D218" s="28"/>
      <c r="E218" s="58" t="s">
        <v>456</v>
      </c>
      <c r="F218" s="65" t="s">
        <v>457</v>
      </c>
    </row>
    <row r="219" spans="1:6" customFormat="1" ht="13.15" customHeight="1" x14ac:dyDescent="0.25">
      <c r="A219" s="28"/>
      <c r="B219" s="28"/>
      <c r="C219" s="28"/>
      <c r="D219" s="28"/>
      <c r="E219" s="58" t="s">
        <v>458</v>
      </c>
      <c r="F219" s="65" t="s">
        <v>459</v>
      </c>
    </row>
    <row r="220" spans="1:6" customFormat="1" ht="13.15" customHeight="1" x14ac:dyDescent="0.25">
      <c r="A220" s="28"/>
      <c r="B220" s="28"/>
      <c r="C220" s="28"/>
      <c r="D220" s="28"/>
      <c r="E220" s="58" t="s">
        <v>460</v>
      </c>
      <c r="F220" s="65" t="s">
        <v>461</v>
      </c>
    </row>
    <row r="221" spans="1:6" customFormat="1" ht="13.15" customHeight="1" x14ac:dyDescent="0.25">
      <c r="A221" s="28"/>
      <c r="B221" s="28"/>
      <c r="C221" s="28"/>
      <c r="D221" s="28"/>
      <c r="E221" s="58" t="s">
        <v>462</v>
      </c>
      <c r="F221" s="65" t="s">
        <v>463</v>
      </c>
    </row>
    <row r="222" spans="1:6" customFormat="1" ht="13.15" customHeight="1" x14ac:dyDescent="0.25">
      <c r="A222" s="28"/>
      <c r="B222" s="28"/>
      <c r="C222" s="28"/>
      <c r="D222" s="28"/>
      <c r="E222" s="58" t="s">
        <v>464</v>
      </c>
      <c r="F222" s="65" t="s">
        <v>465</v>
      </c>
    </row>
    <row r="223" spans="1:6" customFormat="1" ht="13.15" customHeight="1" x14ac:dyDescent="0.25">
      <c r="A223" s="28"/>
      <c r="B223" s="28"/>
      <c r="C223" s="28"/>
      <c r="D223" s="28"/>
      <c r="E223" s="58" t="s">
        <v>466</v>
      </c>
      <c r="F223" s="65" t="s">
        <v>467</v>
      </c>
    </row>
    <row r="224" spans="1:6" customFormat="1" ht="13.15" customHeight="1" x14ac:dyDescent="0.25">
      <c r="A224" s="28"/>
      <c r="B224" s="28"/>
      <c r="C224" s="28"/>
      <c r="D224" s="28"/>
      <c r="E224" s="58" t="s">
        <v>468</v>
      </c>
      <c r="F224" s="65" t="s">
        <v>469</v>
      </c>
    </row>
    <row r="225" spans="1:6" customFormat="1" ht="13.15" customHeight="1" x14ac:dyDescent="0.25">
      <c r="A225" s="28"/>
      <c r="B225" s="28"/>
      <c r="C225" s="28"/>
      <c r="D225" s="28"/>
      <c r="E225" s="58" t="s">
        <v>470</v>
      </c>
      <c r="F225" s="65" t="s">
        <v>471</v>
      </c>
    </row>
    <row r="226" spans="1:6" customFormat="1" ht="13.15" customHeight="1" x14ac:dyDescent="0.25">
      <c r="A226" s="28"/>
      <c r="B226" s="28"/>
      <c r="C226" s="28"/>
      <c r="D226" s="28"/>
      <c r="E226" s="58" t="s">
        <v>472</v>
      </c>
      <c r="F226" s="65" t="s">
        <v>473</v>
      </c>
    </row>
    <row r="227" spans="1:6" customFormat="1" ht="13.15" customHeight="1" x14ac:dyDescent="0.25">
      <c r="A227" s="28"/>
      <c r="B227" s="28"/>
      <c r="C227" s="28"/>
      <c r="D227" s="28"/>
      <c r="E227" s="58" t="s">
        <v>474</v>
      </c>
      <c r="F227" s="65" t="s">
        <v>475</v>
      </c>
    </row>
    <row r="228" spans="1:6" customFormat="1" ht="13.15" customHeight="1" x14ac:dyDescent="0.25">
      <c r="A228" s="28"/>
      <c r="B228" s="28"/>
      <c r="C228" s="28"/>
      <c r="D228" s="28"/>
      <c r="E228" s="58" t="s">
        <v>476</v>
      </c>
      <c r="F228" s="65" t="s">
        <v>477</v>
      </c>
    </row>
    <row r="229" spans="1:6" customFormat="1" ht="13.15" customHeight="1" x14ac:dyDescent="0.25">
      <c r="A229" s="28"/>
      <c r="B229" s="28"/>
      <c r="C229" s="28"/>
      <c r="D229" s="28"/>
      <c r="E229" s="58" t="s">
        <v>478</v>
      </c>
      <c r="F229" s="65" t="s">
        <v>479</v>
      </c>
    </row>
    <row r="230" spans="1:6" customFormat="1" ht="13.15" customHeight="1" x14ac:dyDescent="0.25">
      <c r="A230" s="28"/>
      <c r="B230" s="28"/>
      <c r="C230" s="28"/>
      <c r="D230" s="28"/>
      <c r="E230" s="58" t="s">
        <v>480</v>
      </c>
      <c r="F230" s="65" t="s">
        <v>481</v>
      </c>
    </row>
    <row r="231" spans="1:6" customFormat="1" ht="13.15" customHeight="1" x14ac:dyDescent="0.25">
      <c r="A231" s="28"/>
      <c r="B231" s="28"/>
      <c r="C231" s="28"/>
      <c r="D231" s="28"/>
      <c r="E231" s="58" t="s">
        <v>482</v>
      </c>
      <c r="F231" s="65" t="s">
        <v>483</v>
      </c>
    </row>
    <row r="232" spans="1:6" customFormat="1" ht="13.15" customHeight="1" x14ac:dyDescent="0.25">
      <c r="A232" s="28"/>
      <c r="B232" s="28"/>
      <c r="C232" s="28"/>
      <c r="D232" s="28"/>
      <c r="E232" s="58" t="s">
        <v>484</v>
      </c>
      <c r="F232" s="65" t="s">
        <v>485</v>
      </c>
    </row>
    <row r="233" spans="1:6" customFormat="1" ht="13.15" customHeight="1" x14ac:dyDescent="0.25">
      <c r="A233" s="28"/>
      <c r="B233" s="28"/>
      <c r="C233" s="28"/>
      <c r="D233" s="28"/>
      <c r="E233" s="58" t="s">
        <v>486</v>
      </c>
      <c r="F233" s="65" t="s">
        <v>487</v>
      </c>
    </row>
    <row r="234" spans="1:6" customFormat="1" ht="13.15" customHeight="1" x14ac:dyDescent="0.25">
      <c r="A234" s="28"/>
      <c r="B234" s="28"/>
      <c r="C234" s="28"/>
      <c r="D234" s="28"/>
      <c r="E234" s="58" t="s">
        <v>488</v>
      </c>
      <c r="F234" s="65" t="s">
        <v>489</v>
      </c>
    </row>
    <row r="235" spans="1:6" customFormat="1" ht="13.15" customHeight="1" x14ac:dyDescent="0.25">
      <c r="A235" s="28"/>
      <c r="B235" s="28"/>
      <c r="C235" s="28"/>
      <c r="D235" s="28"/>
      <c r="E235" s="58" t="s">
        <v>490</v>
      </c>
      <c r="F235" s="65" t="s">
        <v>491</v>
      </c>
    </row>
    <row r="236" spans="1:6" customFormat="1" ht="13.15" customHeight="1" x14ac:dyDescent="0.25">
      <c r="A236" s="28"/>
      <c r="B236" s="28"/>
      <c r="C236" s="28"/>
      <c r="D236" s="28"/>
      <c r="E236" s="58" t="s">
        <v>492</v>
      </c>
      <c r="F236" s="65" t="s">
        <v>493</v>
      </c>
    </row>
    <row r="237" spans="1:6" customFormat="1" ht="13.15" customHeight="1" x14ac:dyDescent="0.25">
      <c r="A237" s="28"/>
      <c r="B237" s="28"/>
      <c r="C237" s="28"/>
      <c r="D237" s="28"/>
      <c r="E237" s="58" t="s">
        <v>494</v>
      </c>
      <c r="F237" s="65" t="s">
        <v>495</v>
      </c>
    </row>
    <row r="238" spans="1:6" customFormat="1" ht="13.15" customHeight="1" x14ac:dyDescent="0.25">
      <c r="A238" s="28"/>
      <c r="B238" s="28"/>
      <c r="C238" s="28"/>
      <c r="D238" s="28"/>
      <c r="E238" s="58" t="s">
        <v>496</v>
      </c>
      <c r="F238" s="65" t="s">
        <v>497</v>
      </c>
    </row>
    <row r="239" spans="1:6" customFormat="1" ht="13.15" customHeight="1" x14ac:dyDescent="0.25">
      <c r="A239" s="28"/>
      <c r="B239" s="28"/>
      <c r="C239" s="28"/>
      <c r="D239" s="28"/>
      <c r="E239" s="58" t="s">
        <v>498</v>
      </c>
      <c r="F239" s="65" t="s">
        <v>499</v>
      </c>
    </row>
    <row r="240" spans="1:6" customFormat="1" ht="13.15" customHeight="1" x14ac:dyDescent="0.25">
      <c r="A240" s="28"/>
      <c r="B240" s="28"/>
      <c r="C240" s="28"/>
      <c r="D240" s="28"/>
      <c r="E240" s="58" t="s">
        <v>500</v>
      </c>
      <c r="F240" s="65" t="s">
        <v>501</v>
      </c>
    </row>
    <row r="241" spans="1:6" customFormat="1" ht="13.15" customHeight="1" x14ac:dyDescent="0.25">
      <c r="A241" s="28"/>
      <c r="B241" s="28"/>
      <c r="C241" s="28"/>
      <c r="D241" s="28"/>
      <c r="E241" s="58" t="s">
        <v>502</v>
      </c>
      <c r="F241" s="65" t="s">
        <v>503</v>
      </c>
    </row>
    <row r="242" spans="1:6" customFormat="1" ht="13.15" customHeight="1" x14ac:dyDescent="0.25">
      <c r="A242" s="28"/>
      <c r="B242" s="28"/>
      <c r="C242" s="28"/>
      <c r="D242" s="28"/>
      <c r="E242" s="58" t="s">
        <v>504</v>
      </c>
      <c r="F242" s="65" t="s">
        <v>505</v>
      </c>
    </row>
    <row r="243" spans="1:6" customFormat="1" ht="13.15" customHeight="1" x14ac:dyDescent="0.25">
      <c r="A243" s="28"/>
      <c r="B243" s="28"/>
      <c r="C243" s="28"/>
      <c r="D243" s="28"/>
      <c r="E243" s="58" t="s">
        <v>506</v>
      </c>
      <c r="F243" s="65" t="s">
        <v>507</v>
      </c>
    </row>
    <row r="244" spans="1:6" customFormat="1" ht="13.15" customHeight="1" x14ac:dyDescent="0.25">
      <c r="A244" s="28"/>
      <c r="B244" s="28"/>
      <c r="C244" s="28"/>
      <c r="D244" s="28"/>
      <c r="E244" s="58" t="s">
        <v>508</v>
      </c>
      <c r="F244" s="65" t="s">
        <v>509</v>
      </c>
    </row>
    <row r="245" spans="1:6" customFormat="1" ht="13.15" customHeight="1" x14ac:dyDescent="0.25">
      <c r="A245" s="28"/>
      <c r="B245" s="28"/>
      <c r="C245" s="28"/>
      <c r="D245" s="28"/>
      <c r="E245" s="58" t="s">
        <v>510</v>
      </c>
      <c r="F245" s="65" t="s">
        <v>511</v>
      </c>
    </row>
    <row r="246" spans="1:6" customFormat="1" ht="13.15" customHeight="1" x14ac:dyDescent="0.25">
      <c r="A246" s="28"/>
      <c r="B246" s="28"/>
      <c r="C246" s="28"/>
      <c r="D246" s="28"/>
      <c r="E246" s="58" t="s">
        <v>512</v>
      </c>
      <c r="F246" s="65" t="s">
        <v>513</v>
      </c>
    </row>
    <row r="247" spans="1:6" customFormat="1" ht="13.15" customHeight="1" x14ac:dyDescent="0.25">
      <c r="A247" s="28"/>
      <c r="B247" s="28"/>
      <c r="C247" s="28"/>
      <c r="D247" s="28"/>
      <c r="E247" s="58" t="s">
        <v>514</v>
      </c>
      <c r="F247" s="65" t="s">
        <v>515</v>
      </c>
    </row>
    <row r="248" spans="1:6" customFormat="1" ht="13.15" customHeight="1" x14ac:dyDescent="0.25">
      <c r="A248" s="28"/>
      <c r="B248" s="28"/>
      <c r="C248" s="28"/>
      <c r="D248" s="28"/>
      <c r="E248" s="58" t="s">
        <v>516</v>
      </c>
      <c r="F248" s="65" t="s">
        <v>517</v>
      </c>
    </row>
    <row r="249" spans="1:6" customFormat="1" ht="13.15" customHeight="1" x14ac:dyDescent="0.25">
      <c r="A249" s="28"/>
      <c r="B249" s="28"/>
      <c r="C249" s="28"/>
      <c r="D249" s="28"/>
      <c r="E249" s="58" t="s">
        <v>518</v>
      </c>
      <c r="F249" s="65" t="s">
        <v>519</v>
      </c>
    </row>
    <row r="250" spans="1:6" customFormat="1" ht="13.15" customHeight="1" x14ac:dyDescent="0.25">
      <c r="A250" s="28"/>
      <c r="B250" s="28"/>
      <c r="C250" s="28"/>
      <c r="D250" s="28"/>
      <c r="E250" s="58" t="s">
        <v>520</v>
      </c>
      <c r="F250" s="65" t="s">
        <v>521</v>
      </c>
    </row>
    <row r="251" spans="1:6" customFormat="1" ht="13.15" customHeight="1" x14ac:dyDescent="0.25">
      <c r="A251" s="28"/>
      <c r="B251" s="28"/>
      <c r="C251" s="28"/>
      <c r="D251" s="28"/>
      <c r="E251" s="58" t="s">
        <v>522</v>
      </c>
      <c r="F251" s="65" t="s">
        <v>523</v>
      </c>
    </row>
    <row r="252" spans="1:6" customFormat="1" ht="13.15" customHeight="1" x14ac:dyDescent="0.25">
      <c r="A252" s="28"/>
      <c r="B252" s="28"/>
      <c r="C252" s="28"/>
      <c r="D252" s="28"/>
      <c r="E252" s="58" t="s">
        <v>524</v>
      </c>
      <c r="F252" s="65" t="s">
        <v>525</v>
      </c>
    </row>
    <row r="253" spans="1:6" customFormat="1" ht="13.15" customHeight="1" x14ac:dyDescent="0.25">
      <c r="A253" s="28"/>
      <c r="B253" s="28"/>
      <c r="C253" s="28"/>
      <c r="D253" s="28"/>
      <c r="E253" s="58" t="s">
        <v>526</v>
      </c>
      <c r="F253" s="65" t="s">
        <v>527</v>
      </c>
    </row>
    <row r="254" spans="1:6" customFormat="1" ht="13.15" customHeight="1" x14ac:dyDescent="0.25">
      <c r="A254" s="28"/>
      <c r="B254" s="28"/>
      <c r="C254" s="28"/>
      <c r="D254" s="28"/>
      <c r="E254" s="58" t="s">
        <v>528</v>
      </c>
      <c r="F254" s="65" t="s">
        <v>529</v>
      </c>
    </row>
    <row r="255" spans="1:6" customFormat="1" ht="13.15" customHeight="1" x14ac:dyDescent="0.25">
      <c r="A255" s="28"/>
      <c r="B255" s="28"/>
      <c r="C255" s="28"/>
      <c r="D255" s="28"/>
      <c r="E255" s="58" t="s">
        <v>110</v>
      </c>
      <c r="F255" s="65" t="s">
        <v>530</v>
      </c>
    </row>
    <row r="256" spans="1:6" customFormat="1" ht="13.15" customHeight="1" x14ac:dyDescent="0.25">
      <c r="A256" s="28"/>
      <c r="B256" s="28"/>
      <c r="C256" s="28"/>
      <c r="D256" s="28"/>
      <c r="E256" s="58" t="s">
        <v>531</v>
      </c>
      <c r="F256" s="65" t="s">
        <v>532</v>
      </c>
    </row>
    <row r="257" spans="1:6" customFormat="1" ht="13.15" customHeight="1" x14ac:dyDescent="0.25">
      <c r="A257" s="28"/>
      <c r="B257" s="28"/>
      <c r="C257" s="28"/>
      <c r="D257" s="28"/>
      <c r="E257" s="58" t="s">
        <v>533</v>
      </c>
      <c r="F257" s="65" t="s">
        <v>534</v>
      </c>
    </row>
    <row r="258" spans="1:6" customFormat="1" ht="13.15" customHeight="1" x14ac:dyDescent="0.25">
      <c r="A258" s="28"/>
      <c r="B258" s="28"/>
      <c r="C258" s="28"/>
      <c r="D258" s="28"/>
      <c r="E258" s="58" t="s">
        <v>535</v>
      </c>
      <c r="F258" s="65" t="s">
        <v>536</v>
      </c>
    </row>
    <row r="259" spans="1:6" customFormat="1" ht="13.15" customHeight="1" x14ac:dyDescent="0.25">
      <c r="A259" s="28"/>
      <c r="B259" s="28"/>
      <c r="C259" s="28"/>
      <c r="D259" s="28"/>
      <c r="E259" s="58" t="s">
        <v>537</v>
      </c>
      <c r="F259" s="65" t="s">
        <v>538</v>
      </c>
    </row>
    <row r="260" spans="1:6" customFormat="1" ht="13.15" customHeight="1" x14ac:dyDescent="0.25">
      <c r="A260" s="28"/>
      <c r="B260" s="28"/>
      <c r="C260" s="28"/>
      <c r="D260" s="28"/>
      <c r="E260" s="58" t="s">
        <v>539</v>
      </c>
      <c r="F260" s="65" t="s">
        <v>540</v>
      </c>
    </row>
    <row r="261" spans="1:6" customFormat="1" ht="13.15" customHeight="1" x14ac:dyDescent="0.25">
      <c r="A261" s="28"/>
      <c r="B261" s="28"/>
      <c r="C261" s="28"/>
      <c r="D261" s="28"/>
      <c r="E261" s="58" t="s">
        <v>541</v>
      </c>
      <c r="F261" s="65" t="s">
        <v>542</v>
      </c>
    </row>
    <row r="262" spans="1:6" customFormat="1" ht="13.15" customHeight="1" x14ac:dyDescent="0.25">
      <c r="A262" s="28"/>
      <c r="B262" s="28"/>
      <c r="C262" s="28"/>
      <c r="D262" s="28"/>
      <c r="E262" s="58" t="s">
        <v>543</v>
      </c>
      <c r="F262" s="65" t="s">
        <v>544</v>
      </c>
    </row>
    <row r="263" spans="1:6" customFormat="1" ht="13.15" customHeight="1" x14ac:dyDescent="0.25">
      <c r="A263" s="28"/>
      <c r="B263" s="28"/>
      <c r="C263" s="28"/>
      <c r="D263" s="28"/>
      <c r="E263" s="58" t="s">
        <v>88</v>
      </c>
      <c r="F263" s="65" t="s">
        <v>545</v>
      </c>
    </row>
    <row r="264" spans="1:6" customFormat="1" ht="13.15" customHeight="1" x14ac:dyDescent="0.25">
      <c r="A264" s="28"/>
      <c r="B264" s="28"/>
      <c r="C264" s="28"/>
      <c r="D264" s="28"/>
      <c r="E264" s="58" t="s">
        <v>546</v>
      </c>
      <c r="F264" s="65" t="s">
        <v>547</v>
      </c>
    </row>
    <row r="265" spans="1:6" customFormat="1" ht="13.15" customHeight="1" x14ac:dyDescent="0.25">
      <c r="A265" s="28"/>
      <c r="B265" s="28"/>
      <c r="C265" s="28"/>
      <c r="D265" s="28"/>
      <c r="E265" s="58" t="s">
        <v>548</v>
      </c>
      <c r="F265" s="65" t="s">
        <v>549</v>
      </c>
    </row>
    <row r="266" spans="1:6" customFormat="1" ht="13.15" customHeight="1" x14ac:dyDescent="0.25">
      <c r="A266" s="28"/>
      <c r="B266" s="28"/>
      <c r="C266" s="28"/>
      <c r="D266" s="28"/>
      <c r="E266" s="58" t="s">
        <v>550</v>
      </c>
      <c r="F266" s="65" t="s">
        <v>551</v>
      </c>
    </row>
    <row r="267" spans="1:6" customFormat="1" ht="13.15" customHeight="1" x14ac:dyDescent="0.25">
      <c r="A267" s="28"/>
      <c r="B267" s="28"/>
      <c r="C267" s="28"/>
      <c r="D267" s="28"/>
      <c r="E267" s="58" t="s">
        <v>552</v>
      </c>
      <c r="F267" s="65" t="s">
        <v>553</v>
      </c>
    </row>
    <row r="268" spans="1:6" customFormat="1" ht="13.15" customHeight="1" x14ac:dyDescent="0.25">
      <c r="A268" s="28"/>
      <c r="B268" s="28"/>
      <c r="C268" s="28"/>
      <c r="D268" s="28"/>
      <c r="E268" s="58" t="s">
        <v>554</v>
      </c>
      <c r="F268" s="65" t="s">
        <v>555</v>
      </c>
    </row>
    <row r="269" spans="1:6" customFormat="1" ht="13.15" customHeight="1" x14ac:dyDescent="0.25">
      <c r="A269" s="28"/>
      <c r="B269" s="28"/>
      <c r="C269" s="28"/>
      <c r="D269" s="28"/>
      <c r="E269" s="58" t="s">
        <v>556</v>
      </c>
      <c r="F269" s="65" t="s">
        <v>557</v>
      </c>
    </row>
    <row r="270" spans="1:6" customFormat="1" ht="13.15" customHeight="1" x14ac:dyDescent="0.25">
      <c r="A270" s="28"/>
      <c r="B270" s="28"/>
      <c r="C270" s="28"/>
      <c r="D270" s="28"/>
      <c r="E270" s="58" t="s">
        <v>558</v>
      </c>
      <c r="F270" s="65" t="s">
        <v>559</v>
      </c>
    </row>
    <row r="271" spans="1:6" customFormat="1" ht="13.15" customHeight="1" x14ac:dyDescent="0.25">
      <c r="A271" s="28"/>
      <c r="B271" s="28"/>
      <c r="C271" s="28"/>
      <c r="D271" s="28"/>
      <c r="E271" s="58" t="s">
        <v>560</v>
      </c>
      <c r="F271" s="65" t="s">
        <v>561</v>
      </c>
    </row>
    <row r="272" spans="1:6" customFormat="1" ht="13.15" customHeight="1" x14ac:dyDescent="0.25">
      <c r="A272" s="28"/>
      <c r="B272" s="28"/>
      <c r="C272" s="28"/>
      <c r="D272" s="28"/>
      <c r="E272" s="58" t="s">
        <v>562</v>
      </c>
      <c r="F272" s="65" t="s">
        <v>563</v>
      </c>
    </row>
    <row r="273" spans="1:6" customFormat="1" ht="13.15" customHeight="1" x14ac:dyDescent="0.25">
      <c r="A273" s="28"/>
      <c r="B273" s="28"/>
      <c r="C273" s="28"/>
      <c r="D273" s="28"/>
      <c r="E273" s="58" t="s">
        <v>564</v>
      </c>
      <c r="F273" s="65" t="s">
        <v>565</v>
      </c>
    </row>
    <row r="274" spans="1:6" customFormat="1" ht="13.15" customHeight="1" x14ac:dyDescent="0.25">
      <c r="A274" s="28"/>
      <c r="B274" s="28"/>
      <c r="C274" s="28"/>
      <c r="D274" s="28"/>
      <c r="E274" s="58" t="s">
        <v>566</v>
      </c>
      <c r="F274" s="65" t="s">
        <v>567</v>
      </c>
    </row>
    <row r="275" spans="1:6" customFormat="1" ht="13.15" customHeight="1" x14ac:dyDescent="0.25">
      <c r="A275" s="28"/>
      <c r="B275" s="28"/>
      <c r="C275" s="28"/>
      <c r="D275" s="28"/>
      <c r="E275" s="58" t="s">
        <v>568</v>
      </c>
      <c r="F275" s="65" t="s">
        <v>569</v>
      </c>
    </row>
    <row r="276" spans="1:6" customFormat="1" ht="13.15" customHeight="1" x14ac:dyDescent="0.25">
      <c r="A276" s="28"/>
      <c r="B276" s="28"/>
      <c r="C276" s="28"/>
      <c r="D276" s="28"/>
      <c r="E276" s="58" t="s">
        <v>570</v>
      </c>
      <c r="F276" s="65" t="s">
        <v>571</v>
      </c>
    </row>
    <row r="277" spans="1:6" customFormat="1" ht="13.15" customHeight="1" x14ac:dyDescent="0.25">
      <c r="A277" s="28"/>
      <c r="B277" s="28"/>
      <c r="C277" s="28"/>
      <c r="D277" s="28"/>
      <c r="E277" s="58" t="s">
        <v>572</v>
      </c>
      <c r="F277" s="65" t="s">
        <v>573</v>
      </c>
    </row>
    <row r="278" spans="1:6" customFormat="1" ht="13.15" customHeight="1" x14ac:dyDescent="0.25">
      <c r="A278" s="28"/>
      <c r="B278" s="28"/>
      <c r="C278" s="28"/>
      <c r="D278" s="28"/>
      <c r="E278" s="58" t="s">
        <v>574</v>
      </c>
      <c r="F278" s="65" t="s">
        <v>575</v>
      </c>
    </row>
    <row r="279" spans="1:6" customFormat="1" ht="13.15" customHeight="1" x14ac:dyDescent="0.25">
      <c r="A279" s="28"/>
      <c r="B279" s="28"/>
      <c r="C279" s="28"/>
      <c r="D279" s="28"/>
      <c r="E279" s="58" t="s">
        <v>576</v>
      </c>
      <c r="F279" s="65" t="s">
        <v>577</v>
      </c>
    </row>
    <row r="280" spans="1:6" customFormat="1" ht="13.15" customHeight="1" x14ac:dyDescent="0.25">
      <c r="A280" s="28"/>
      <c r="B280" s="28"/>
      <c r="C280" s="28"/>
      <c r="D280" s="28"/>
      <c r="E280" s="58" t="s">
        <v>578</v>
      </c>
      <c r="F280" s="65" t="s">
        <v>579</v>
      </c>
    </row>
    <row r="281" spans="1:6" customFormat="1" ht="13.15" customHeight="1" x14ac:dyDescent="0.25">
      <c r="A281" s="28"/>
      <c r="B281" s="28"/>
      <c r="C281" s="28"/>
      <c r="D281" s="28"/>
      <c r="E281" s="58" t="s">
        <v>580</v>
      </c>
      <c r="F281" s="65" t="s">
        <v>581</v>
      </c>
    </row>
    <row r="282" spans="1:6" customFormat="1" ht="13.15" customHeight="1" x14ac:dyDescent="0.25">
      <c r="A282" s="28"/>
      <c r="B282" s="28"/>
      <c r="C282" s="28"/>
      <c r="D282" s="28"/>
      <c r="E282" s="58" t="s">
        <v>582</v>
      </c>
      <c r="F282" s="65" t="s">
        <v>583</v>
      </c>
    </row>
    <row r="283" spans="1:6" customFormat="1" ht="13.15" customHeight="1" x14ac:dyDescent="0.25">
      <c r="A283" s="28"/>
      <c r="B283" s="28"/>
      <c r="C283" s="28"/>
      <c r="D283" s="28"/>
      <c r="E283" s="58" t="s">
        <v>584</v>
      </c>
      <c r="F283" s="65" t="s">
        <v>585</v>
      </c>
    </row>
    <row r="284" spans="1:6" customFormat="1" ht="13.15" customHeight="1" x14ac:dyDescent="0.25">
      <c r="A284" s="28"/>
      <c r="B284" s="28"/>
      <c r="C284" s="28"/>
      <c r="D284" s="28"/>
      <c r="E284" s="58" t="s">
        <v>586</v>
      </c>
      <c r="F284" s="65" t="s">
        <v>587</v>
      </c>
    </row>
    <row r="285" spans="1:6" customFormat="1" ht="13.15" customHeight="1" x14ac:dyDescent="0.25">
      <c r="A285" s="28"/>
      <c r="B285" s="28"/>
      <c r="C285" s="28"/>
      <c r="D285" s="28"/>
      <c r="E285" s="58" t="s">
        <v>588</v>
      </c>
      <c r="F285" s="65" t="s">
        <v>589</v>
      </c>
    </row>
    <row r="286" spans="1:6" customFormat="1" ht="13.15" customHeight="1" x14ac:dyDescent="0.25">
      <c r="A286" s="28"/>
      <c r="B286" s="28"/>
      <c r="C286" s="28"/>
      <c r="D286" s="28"/>
      <c r="E286" s="58" t="s">
        <v>590</v>
      </c>
      <c r="F286" s="65" t="s">
        <v>591</v>
      </c>
    </row>
    <row r="287" spans="1:6" customFormat="1" ht="13.15" customHeight="1" x14ac:dyDescent="0.25">
      <c r="A287" s="28"/>
      <c r="B287" s="28"/>
      <c r="C287" s="28"/>
      <c r="D287" s="28"/>
      <c r="E287" s="58" t="s">
        <v>592</v>
      </c>
      <c r="F287" s="65" t="s">
        <v>593</v>
      </c>
    </row>
    <row r="288" spans="1:6" customFormat="1" ht="13.15" customHeight="1" x14ac:dyDescent="0.25">
      <c r="A288" s="28"/>
      <c r="B288" s="28"/>
      <c r="C288" s="28"/>
      <c r="D288" s="28"/>
      <c r="E288" s="58" t="s">
        <v>594</v>
      </c>
      <c r="F288" s="65" t="s">
        <v>595</v>
      </c>
    </row>
    <row r="289" spans="1:6" customFormat="1" ht="13.15" customHeight="1" x14ac:dyDescent="0.25">
      <c r="A289" s="28"/>
      <c r="B289" s="28"/>
      <c r="C289" s="28"/>
      <c r="D289" s="28"/>
      <c r="E289" s="58" t="s">
        <v>596</v>
      </c>
      <c r="F289" s="65" t="s">
        <v>597</v>
      </c>
    </row>
    <row r="290" spans="1:6" customFormat="1" ht="13.15" customHeight="1" x14ac:dyDescent="0.25">
      <c r="A290" s="28"/>
      <c r="B290" s="28"/>
      <c r="C290" s="28"/>
      <c r="D290" s="28"/>
      <c r="E290" s="58" t="s">
        <v>598</v>
      </c>
      <c r="F290" s="65" t="s">
        <v>599</v>
      </c>
    </row>
    <row r="291" spans="1:6" customFormat="1" ht="13.15" customHeight="1" x14ac:dyDescent="0.25">
      <c r="E291" s="58" t="s">
        <v>600</v>
      </c>
      <c r="F291" s="65" t="s">
        <v>601</v>
      </c>
    </row>
    <row r="292" spans="1:6" customFormat="1" ht="13.15" customHeight="1" x14ac:dyDescent="0.25">
      <c r="E292" s="58" t="s">
        <v>602</v>
      </c>
      <c r="F292" s="65" t="s">
        <v>603</v>
      </c>
    </row>
    <row r="293" spans="1:6" customFormat="1" ht="13.15" customHeight="1" x14ac:dyDescent="0.25">
      <c r="E293" s="58" t="s">
        <v>604</v>
      </c>
      <c r="F293" s="65" t="s">
        <v>605</v>
      </c>
    </row>
    <row r="294" spans="1:6" customFormat="1" ht="13.15" customHeight="1" x14ac:dyDescent="0.25">
      <c r="E294" s="58" t="s">
        <v>606</v>
      </c>
      <c r="F294" s="65" t="s">
        <v>607</v>
      </c>
    </row>
    <row r="295" spans="1:6" customFormat="1" ht="13.15" customHeight="1" x14ac:dyDescent="0.25">
      <c r="E295" s="58" t="s">
        <v>608</v>
      </c>
      <c r="F295" s="65" t="s">
        <v>609</v>
      </c>
    </row>
    <row r="296" spans="1:6" customFormat="1" ht="13.15" customHeight="1" x14ac:dyDescent="0.25">
      <c r="E296" s="58" t="s">
        <v>610</v>
      </c>
      <c r="F296" s="65" t="s">
        <v>611</v>
      </c>
    </row>
    <row r="297" spans="1:6" customFormat="1" ht="13.15" customHeight="1" x14ac:dyDescent="0.25">
      <c r="E297" s="58" t="s">
        <v>612</v>
      </c>
      <c r="F297" s="65" t="s">
        <v>613</v>
      </c>
    </row>
    <row r="298" spans="1:6" customFormat="1" ht="13.15" customHeight="1" x14ac:dyDescent="0.25">
      <c r="E298" s="58" t="s">
        <v>614</v>
      </c>
      <c r="F298" s="65" t="s">
        <v>615</v>
      </c>
    </row>
    <row r="299" spans="1:6" customFormat="1" ht="13.15" customHeight="1" x14ac:dyDescent="0.25">
      <c r="E299" s="58" t="s">
        <v>616</v>
      </c>
      <c r="F299" s="65" t="s">
        <v>617</v>
      </c>
    </row>
    <row r="300" spans="1:6" customFormat="1" ht="13.15" customHeight="1" x14ac:dyDescent="0.25">
      <c r="E300" s="58" t="s">
        <v>618</v>
      </c>
      <c r="F300" s="65" t="s">
        <v>619</v>
      </c>
    </row>
    <row r="301" spans="1:6" customFormat="1" ht="13.15" customHeight="1" x14ac:dyDescent="0.25">
      <c r="E301" s="58" t="s">
        <v>620</v>
      </c>
      <c r="F301" s="65" t="s">
        <v>621</v>
      </c>
    </row>
    <row r="302" spans="1:6" customFormat="1" ht="13.15" customHeight="1" x14ac:dyDescent="0.25">
      <c r="E302" s="58" t="s">
        <v>622</v>
      </c>
      <c r="F302" s="65" t="s">
        <v>623</v>
      </c>
    </row>
    <row r="303" spans="1:6" customFormat="1" ht="13.15" customHeight="1" x14ac:dyDescent="0.25">
      <c r="E303" s="58" t="s">
        <v>624</v>
      </c>
      <c r="F303" s="65" t="s">
        <v>625</v>
      </c>
    </row>
    <row r="304" spans="1:6" customFormat="1" ht="13.15" customHeight="1" x14ac:dyDescent="0.25">
      <c r="E304" s="58" t="s">
        <v>626</v>
      </c>
      <c r="F304" s="65" t="s">
        <v>627</v>
      </c>
    </row>
    <row r="305" spans="5:6" customFormat="1" ht="13.15" customHeight="1" x14ac:dyDescent="0.25">
      <c r="E305" s="58" t="s">
        <v>628</v>
      </c>
      <c r="F305" s="65" t="s">
        <v>629</v>
      </c>
    </row>
    <row r="306" spans="5:6" customFormat="1" ht="13.15" customHeight="1" x14ac:dyDescent="0.25">
      <c r="E306" s="58" t="s">
        <v>630</v>
      </c>
      <c r="F306" s="65" t="s">
        <v>631</v>
      </c>
    </row>
    <row r="307" spans="5:6" customFormat="1" ht="13.15" customHeight="1" x14ac:dyDescent="0.25">
      <c r="E307" s="58" t="s">
        <v>632</v>
      </c>
      <c r="F307" s="65" t="s">
        <v>633</v>
      </c>
    </row>
    <row r="308" spans="5:6" customFormat="1" ht="13.15" customHeight="1" x14ac:dyDescent="0.25">
      <c r="E308" s="58" t="s">
        <v>634</v>
      </c>
      <c r="F308" s="65" t="s">
        <v>635</v>
      </c>
    </row>
    <row r="309" spans="5:6" customFormat="1" ht="13.15" customHeight="1" x14ac:dyDescent="0.25">
      <c r="E309" s="58" t="s">
        <v>636</v>
      </c>
      <c r="F309" s="65" t="s">
        <v>637</v>
      </c>
    </row>
    <row r="310" spans="5:6" customFormat="1" ht="13.15" customHeight="1" x14ac:dyDescent="0.25">
      <c r="E310" s="58" t="s">
        <v>638</v>
      </c>
      <c r="F310" s="65" t="s">
        <v>639</v>
      </c>
    </row>
    <row r="311" spans="5:6" customFormat="1" ht="13.15" customHeight="1" x14ac:dyDescent="0.25">
      <c r="E311" s="58" t="s">
        <v>640</v>
      </c>
      <c r="F311" s="65" t="s">
        <v>641</v>
      </c>
    </row>
    <row r="312" spans="5:6" customFormat="1" ht="13.15" customHeight="1" x14ac:dyDescent="0.25">
      <c r="E312" s="58" t="s">
        <v>642</v>
      </c>
      <c r="F312" s="65" t="s">
        <v>643</v>
      </c>
    </row>
    <row r="313" spans="5:6" customFormat="1" ht="13.15" customHeight="1" x14ac:dyDescent="0.25">
      <c r="E313" s="58" t="s">
        <v>644</v>
      </c>
      <c r="F313" s="65" t="s">
        <v>645</v>
      </c>
    </row>
    <row r="314" spans="5:6" customFormat="1" ht="13.15" customHeight="1" x14ac:dyDescent="0.25">
      <c r="E314" s="58" t="s">
        <v>646</v>
      </c>
      <c r="F314" s="65" t="s">
        <v>647</v>
      </c>
    </row>
    <row r="315" spans="5:6" customFormat="1" ht="13.15" customHeight="1" x14ac:dyDescent="0.25">
      <c r="E315" s="58" t="s">
        <v>648</v>
      </c>
      <c r="F315" s="65" t="s">
        <v>649</v>
      </c>
    </row>
    <row r="316" spans="5:6" customFormat="1" ht="13.15" customHeight="1" x14ac:dyDescent="0.25">
      <c r="E316" s="58" t="s">
        <v>650</v>
      </c>
      <c r="F316" s="65" t="s">
        <v>651</v>
      </c>
    </row>
    <row r="317" spans="5:6" customFormat="1" ht="13.15" customHeight="1" x14ac:dyDescent="0.25">
      <c r="E317" s="58" t="s">
        <v>652</v>
      </c>
      <c r="F317" s="65" t="s">
        <v>653</v>
      </c>
    </row>
    <row r="318" spans="5:6" customFormat="1" ht="13.15" customHeight="1" x14ac:dyDescent="0.25">
      <c r="E318" s="58" t="s">
        <v>654</v>
      </c>
      <c r="F318" s="65" t="s">
        <v>655</v>
      </c>
    </row>
    <row r="319" spans="5:6" customFormat="1" ht="13.15" customHeight="1" x14ac:dyDescent="0.25">
      <c r="E319" s="58" t="s">
        <v>656</v>
      </c>
      <c r="F319" s="65" t="s">
        <v>657</v>
      </c>
    </row>
    <row r="320" spans="5:6" customFormat="1" ht="13.15" customHeight="1" x14ac:dyDescent="0.25">
      <c r="E320" s="58" t="s">
        <v>658</v>
      </c>
      <c r="F320" s="65" t="s">
        <v>659</v>
      </c>
    </row>
    <row r="321" spans="5:6" customFormat="1" ht="13.15" customHeight="1" x14ac:dyDescent="0.25">
      <c r="E321" s="58" t="s">
        <v>660</v>
      </c>
      <c r="F321" s="65" t="s">
        <v>661</v>
      </c>
    </row>
    <row r="322" spans="5:6" customFormat="1" ht="13.15" customHeight="1" x14ac:dyDescent="0.25">
      <c r="E322" s="58" t="s">
        <v>662</v>
      </c>
      <c r="F322" s="65" t="s">
        <v>663</v>
      </c>
    </row>
    <row r="323" spans="5:6" customFormat="1" ht="13.15" customHeight="1" x14ac:dyDescent="0.25">
      <c r="E323" s="58" t="s">
        <v>664</v>
      </c>
      <c r="F323" s="65" t="s">
        <v>665</v>
      </c>
    </row>
    <row r="324" spans="5:6" customFormat="1" ht="13.15" customHeight="1" x14ac:dyDescent="0.25">
      <c r="E324" s="58" t="s">
        <v>666</v>
      </c>
      <c r="F324" s="65" t="s">
        <v>667</v>
      </c>
    </row>
    <row r="325" spans="5:6" customFormat="1" ht="13.15" customHeight="1" x14ac:dyDescent="0.25">
      <c r="E325" s="58" t="s">
        <v>668</v>
      </c>
      <c r="F325" s="65" t="s">
        <v>669</v>
      </c>
    </row>
    <row r="326" spans="5:6" customFormat="1" ht="13.15" customHeight="1" x14ac:dyDescent="0.25">
      <c r="E326" s="58" t="s">
        <v>670</v>
      </c>
      <c r="F326" s="65" t="s">
        <v>671</v>
      </c>
    </row>
    <row r="327" spans="5:6" customFormat="1" ht="13.15" customHeight="1" x14ac:dyDescent="0.25">
      <c r="E327" s="58" t="s">
        <v>672</v>
      </c>
      <c r="F327" s="65" t="s">
        <v>673</v>
      </c>
    </row>
    <row r="328" spans="5:6" customFormat="1" ht="13.15" customHeight="1" x14ac:dyDescent="0.25">
      <c r="E328" s="58" t="s">
        <v>674</v>
      </c>
      <c r="F328" s="65" t="s">
        <v>675</v>
      </c>
    </row>
    <row r="329" spans="5:6" customFormat="1" ht="13.15" customHeight="1" x14ac:dyDescent="0.25">
      <c r="E329" s="58" t="s">
        <v>676</v>
      </c>
      <c r="F329" s="65" t="s">
        <v>677</v>
      </c>
    </row>
    <row r="330" spans="5:6" customFormat="1" ht="13.15" customHeight="1" x14ac:dyDescent="0.25">
      <c r="E330" s="58" t="s">
        <v>678</v>
      </c>
      <c r="F330" s="65" t="s">
        <v>679</v>
      </c>
    </row>
    <row r="331" spans="5:6" customFormat="1" ht="13.15" customHeight="1" x14ac:dyDescent="0.25">
      <c r="E331" s="58" t="s">
        <v>680</v>
      </c>
      <c r="F331" s="65" t="s">
        <v>681</v>
      </c>
    </row>
    <row r="332" spans="5:6" customFormat="1" ht="13.15" customHeight="1" x14ac:dyDescent="0.25">
      <c r="E332" s="58" t="s">
        <v>682</v>
      </c>
      <c r="F332" s="65" t="s">
        <v>683</v>
      </c>
    </row>
    <row r="333" spans="5:6" customFormat="1" ht="13.15" customHeight="1" x14ac:dyDescent="0.25">
      <c r="E333" s="58" t="s">
        <v>684</v>
      </c>
      <c r="F333" s="65" t="s">
        <v>685</v>
      </c>
    </row>
    <row r="334" spans="5:6" customFormat="1" ht="13.15" customHeight="1" x14ac:dyDescent="0.25">
      <c r="E334" s="58" t="s">
        <v>686</v>
      </c>
      <c r="F334" s="65" t="s">
        <v>687</v>
      </c>
    </row>
    <row r="335" spans="5:6" customFormat="1" ht="13.15" customHeight="1" x14ac:dyDescent="0.25">
      <c r="E335" s="58" t="s">
        <v>688</v>
      </c>
      <c r="F335" s="65" t="s">
        <v>689</v>
      </c>
    </row>
    <row r="336" spans="5:6" customFormat="1" ht="13.15" customHeight="1" x14ac:dyDescent="0.25">
      <c r="E336" s="58" t="s">
        <v>690</v>
      </c>
      <c r="F336" s="65" t="s">
        <v>691</v>
      </c>
    </row>
    <row r="337" spans="5:6" customFormat="1" ht="13.15" customHeight="1" x14ac:dyDescent="0.25">
      <c r="E337" s="58" t="s">
        <v>692</v>
      </c>
      <c r="F337" s="65" t="s">
        <v>693</v>
      </c>
    </row>
    <row r="338" spans="5:6" customFormat="1" ht="13.15" customHeight="1" x14ac:dyDescent="0.25">
      <c r="E338" s="58" t="s">
        <v>694</v>
      </c>
      <c r="F338" s="65" t="s">
        <v>695</v>
      </c>
    </row>
    <row r="339" spans="5:6" customFormat="1" ht="13.15" customHeight="1" x14ac:dyDescent="0.25">
      <c r="E339" s="58" t="s">
        <v>696</v>
      </c>
      <c r="F339" s="65" t="s">
        <v>697</v>
      </c>
    </row>
    <row r="340" spans="5:6" customFormat="1" ht="13.15" customHeight="1" x14ac:dyDescent="0.25">
      <c r="E340" s="58" t="s">
        <v>698</v>
      </c>
      <c r="F340" s="65" t="s">
        <v>699</v>
      </c>
    </row>
    <row r="341" spans="5:6" customFormat="1" ht="13.15" customHeight="1" x14ac:dyDescent="0.25">
      <c r="E341" s="58" t="s">
        <v>700</v>
      </c>
      <c r="F341" s="65" t="s">
        <v>701</v>
      </c>
    </row>
    <row r="342" spans="5:6" customFormat="1" ht="13.15" customHeight="1" x14ac:dyDescent="0.25">
      <c r="E342" s="58" t="s">
        <v>702</v>
      </c>
      <c r="F342" s="65" t="s">
        <v>703</v>
      </c>
    </row>
    <row r="343" spans="5:6" customFormat="1" ht="13.15" customHeight="1" x14ac:dyDescent="0.25">
      <c r="E343" s="58" t="s">
        <v>704</v>
      </c>
      <c r="F343" s="65" t="s">
        <v>705</v>
      </c>
    </row>
    <row r="344" spans="5:6" customFormat="1" ht="13.15" customHeight="1" x14ac:dyDescent="0.25">
      <c r="E344" s="58" t="s">
        <v>706</v>
      </c>
      <c r="F344" s="65" t="s">
        <v>707</v>
      </c>
    </row>
    <row r="345" spans="5:6" customFormat="1" ht="13.15" customHeight="1" x14ac:dyDescent="0.25">
      <c r="E345" s="58" t="s">
        <v>708</v>
      </c>
      <c r="F345" s="65" t="s">
        <v>709</v>
      </c>
    </row>
    <row r="346" spans="5:6" customFormat="1" ht="13.15" customHeight="1" x14ac:dyDescent="0.25">
      <c r="E346" s="58" t="s">
        <v>710</v>
      </c>
      <c r="F346" s="65" t="s">
        <v>711</v>
      </c>
    </row>
    <row r="347" spans="5:6" customFormat="1" ht="13.15" customHeight="1" x14ac:dyDescent="0.25">
      <c r="E347" s="58" t="s">
        <v>712</v>
      </c>
      <c r="F347" s="65" t="s">
        <v>713</v>
      </c>
    </row>
    <row r="348" spans="5:6" customFormat="1" ht="13.15" customHeight="1" x14ac:dyDescent="0.25">
      <c r="E348" s="58" t="s">
        <v>714</v>
      </c>
      <c r="F348" s="65" t="s">
        <v>715</v>
      </c>
    </row>
    <row r="349" spans="5:6" customFormat="1" ht="13.15" customHeight="1" x14ac:dyDescent="0.25">
      <c r="E349" s="58" t="s">
        <v>716</v>
      </c>
      <c r="F349" s="65" t="s">
        <v>717</v>
      </c>
    </row>
    <row r="350" spans="5:6" customFormat="1" ht="13.15" customHeight="1" x14ac:dyDescent="0.25">
      <c r="E350" s="58" t="s">
        <v>718</v>
      </c>
      <c r="F350" s="65" t="s">
        <v>719</v>
      </c>
    </row>
    <row r="351" spans="5:6" customFormat="1" ht="13.15" customHeight="1" x14ac:dyDescent="0.25">
      <c r="E351" s="58" t="s">
        <v>720</v>
      </c>
      <c r="F351" s="65" t="s">
        <v>721</v>
      </c>
    </row>
    <row r="352" spans="5:6" customFormat="1" ht="13.15" customHeight="1" x14ac:dyDescent="0.25">
      <c r="E352" s="58" t="s">
        <v>94</v>
      </c>
      <c r="F352" s="65" t="s">
        <v>722</v>
      </c>
    </row>
    <row r="353" spans="5:6" customFormat="1" ht="13.15" customHeight="1" x14ac:dyDescent="0.25">
      <c r="E353" s="58" t="s">
        <v>723</v>
      </c>
      <c r="F353" s="65" t="s">
        <v>724</v>
      </c>
    </row>
    <row r="354" spans="5:6" customFormat="1" ht="13.15" customHeight="1" x14ac:dyDescent="0.25">
      <c r="E354" s="58" t="s">
        <v>725</v>
      </c>
      <c r="F354" s="65" t="s">
        <v>726</v>
      </c>
    </row>
    <row r="355" spans="5:6" customFormat="1" ht="13.15" customHeight="1" x14ac:dyDescent="0.25">
      <c r="E355" s="58" t="s">
        <v>727</v>
      </c>
      <c r="F355" s="65" t="s">
        <v>728</v>
      </c>
    </row>
    <row r="356" spans="5:6" customFormat="1" ht="13.15" customHeight="1" x14ac:dyDescent="0.25">
      <c r="E356" s="58" t="s">
        <v>729</v>
      </c>
      <c r="F356" s="65" t="s">
        <v>730</v>
      </c>
    </row>
    <row r="357" spans="5:6" customFormat="1" ht="13.15" customHeight="1" x14ac:dyDescent="0.25">
      <c r="E357" s="58" t="s">
        <v>731</v>
      </c>
      <c r="F357" s="65" t="s">
        <v>732</v>
      </c>
    </row>
    <row r="358" spans="5:6" customFormat="1" ht="13.15" customHeight="1" x14ac:dyDescent="0.25">
      <c r="E358" s="58" t="s">
        <v>733</v>
      </c>
      <c r="F358" s="65" t="s">
        <v>734</v>
      </c>
    </row>
    <row r="359" spans="5:6" customFormat="1" ht="13.15" customHeight="1" x14ac:dyDescent="0.25">
      <c r="E359" s="58" t="s">
        <v>735</v>
      </c>
      <c r="F359" s="65" t="s">
        <v>736</v>
      </c>
    </row>
    <row r="360" spans="5:6" customFormat="1" ht="13.15" customHeight="1" x14ac:dyDescent="0.25">
      <c r="E360" s="58" t="s">
        <v>737</v>
      </c>
      <c r="F360" s="65" t="s">
        <v>738</v>
      </c>
    </row>
    <row r="361" spans="5:6" customFormat="1" ht="13.15" customHeight="1" x14ac:dyDescent="0.25">
      <c r="E361" s="58" t="s">
        <v>739</v>
      </c>
      <c r="F361" s="65" t="s">
        <v>740</v>
      </c>
    </row>
    <row r="362" spans="5:6" customFormat="1" ht="13.15" customHeight="1" x14ac:dyDescent="0.25">
      <c r="E362" s="58" t="s">
        <v>741</v>
      </c>
      <c r="F362" s="65" t="s">
        <v>742</v>
      </c>
    </row>
    <row r="363" spans="5:6" customFormat="1" ht="13.15" customHeight="1" x14ac:dyDescent="0.25">
      <c r="E363" s="58" t="s">
        <v>743</v>
      </c>
      <c r="F363" s="65" t="s">
        <v>744</v>
      </c>
    </row>
    <row r="364" spans="5:6" customFormat="1" ht="13.15" customHeight="1" x14ac:dyDescent="0.25">
      <c r="E364" s="58" t="s">
        <v>745</v>
      </c>
      <c r="F364" s="65" t="s">
        <v>746</v>
      </c>
    </row>
    <row r="365" spans="5:6" customFormat="1" ht="13.15" customHeight="1" x14ac:dyDescent="0.25">
      <c r="E365" s="58" t="s">
        <v>747</v>
      </c>
      <c r="F365" s="65" t="s">
        <v>748</v>
      </c>
    </row>
    <row r="366" spans="5:6" customFormat="1" ht="13.15" customHeight="1" x14ac:dyDescent="0.25">
      <c r="E366" s="58" t="s">
        <v>749</v>
      </c>
      <c r="F366" s="65">
        <v>1200323</v>
      </c>
    </row>
    <row r="367" spans="5:6" customFormat="1" ht="13.15" customHeight="1" x14ac:dyDescent="0.25">
      <c r="E367" s="58" t="s">
        <v>750</v>
      </c>
      <c r="F367" s="65" t="s">
        <v>751</v>
      </c>
    </row>
    <row r="368" spans="5:6" customFormat="1" ht="13.15" customHeight="1" x14ac:dyDescent="0.25">
      <c r="E368" s="58" t="s">
        <v>752</v>
      </c>
      <c r="F368" s="65" t="s">
        <v>753</v>
      </c>
    </row>
    <row r="369" spans="5:6" customFormat="1" ht="13.15" customHeight="1" x14ac:dyDescent="0.25">
      <c r="E369" s="58" t="s">
        <v>754</v>
      </c>
      <c r="F369" s="65" t="s">
        <v>755</v>
      </c>
    </row>
    <row r="370" spans="5:6" customFormat="1" ht="13.15" customHeight="1" x14ac:dyDescent="0.25">
      <c r="E370" s="58" t="s">
        <v>756</v>
      </c>
      <c r="F370" s="65" t="s">
        <v>757</v>
      </c>
    </row>
    <row r="371" spans="5:6" customFormat="1" ht="13.15" customHeight="1" x14ac:dyDescent="0.25">
      <c r="E371" s="58" t="s">
        <v>758</v>
      </c>
      <c r="F371" s="65" t="s">
        <v>759</v>
      </c>
    </row>
    <row r="372" spans="5:6" customFormat="1" ht="13.15" customHeight="1" x14ac:dyDescent="0.25">
      <c r="E372" s="58" t="s">
        <v>760</v>
      </c>
      <c r="F372" s="65" t="s">
        <v>761</v>
      </c>
    </row>
    <row r="373" spans="5:6" customFormat="1" ht="13.15" customHeight="1" x14ac:dyDescent="0.25">
      <c r="E373" s="58" t="s">
        <v>92</v>
      </c>
      <c r="F373" s="65" t="s">
        <v>762</v>
      </c>
    </row>
    <row r="374" spans="5:6" customFormat="1" ht="13.15" customHeight="1" x14ac:dyDescent="0.25">
      <c r="E374" s="58" t="s">
        <v>763</v>
      </c>
      <c r="F374" s="65" t="s">
        <v>764</v>
      </c>
    </row>
    <row r="375" spans="5:6" customFormat="1" ht="13.15" customHeight="1" x14ac:dyDescent="0.25">
      <c r="E375" s="58" t="s">
        <v>765</v>
      </c>
      <c r="F375" s="65" t="s">
        <v>766</v>
      </c>
    </row>
    <row r="376" spans="5:6" customFormat="1" ht="13.15" customHeight="1" x14ac:dyDescent="0.25">
      <c r="E376" s="58" t="s">
        <v>767</v>
      </c>
      <c r="F376" s="65" t="s">
        <v>768</v>
      </c>
    </row>
    <row r="377" spans="5:6" customFormat="1" ht="13.15" customHeight="1" x14ac:dyDescent="0.25">
      <c r="E377" s="58" t="s">
        <v>769</v>
      </c>
      <c r="F377" s="65" t="s">
        <v>770</v>
      </c>
    </row>
    <row r="378" spans="5:6" customFormat="1" ht="13.15" customHeight="1" x14ac:dyDescent="0.25">
      <c r="E378" s="58" t="s">
        <v>771</v>
      </c>
      <c r="F378" s="65" t="s">
        <v>772</v>
      </c>
    </row>
    <row r="379" spans="5:6" customFormat="1" ht="13.15" customHeight="1" x14ac:dyDescent="0.25">
      <c r="E379" s="58" t="s">
        <v>773</v>
      </c>
      <c r="F379" s="65" t="s">
        <v>774</v>
      </c>
    </row>
    <row r="380" spans="5:6" customFormat="1" ht="13.15" customHeight="1" x14ac:dyDescent="0.25">
      <c r="E380" s="58" t="s">
        <v>775</v>
      </c>
      <c r="F380" s="65" t="s">
        <v>776</v>
      </c>
    </row>
    <row r="381" spans="5:6" customFormat="1" ht="13.15" customHeight="1" x14ac:dyDescent="0.25">
      <c r="E381" s="58" t="s">
        <v>777</v>
      </c>
      <c r="F381" s="65" t="s">
        <v>778</v>
      </c>
    </row>
    <row r="382" spans="5:6" customFormat="1" ht="13.15" customHeight="1" x14ac:dyDescent="0.25">
      <c r="E382" s="58" t="s">
        <v>779</v>
      </c>
      <c r="F382" s="65" t="s">
        <v>780</v>
      </c>
    </row>
    <row r="383" spans="5:6" customFormat="1" ht="13.15" customHeight="1" x14ac:dyDescent="0.25">
      <c r="E383" s="58" t="s">
        <v>781</v>
      </c>
      <c r="F383" s="65" t="s">
        <v>782</v>
      </c>
    </row>
    <row r="384" spans="5:6" customFormat="1" ht="13.15" customHeight="1" x14ac:dyDescent="0.25">
      <c r="E384" s="58" t="s">
        <v>783</v>
      </c>
      <c r="F384" s="65" t="s">
        <v>784</v>
      </c>
    </row>
    <row r="385" spans="5:6" customFormat="1" ht="13.15" customHeight="1" x14ac:dyDescent="0.25">
      <c r="E385" s="58" t="s">
        <v>785</v>
      </c>
      <c r="F385" s="65" t="s">
        <v>786</v>
      </c>
    </row>
    <row r="386" spans="5:6" customFormat="1" ht="13.15" customHeight="1" x14ac:dyDescent="0.25">
      <c r="E386" s="58" t="s">
        <v>787</v>
      </c>
      <c r="F386" s="65" t="s">
        <v>788</v>
      </c>
    </row>
    <row r="387" spans="5:6" customFormat="1" ht="13.15" customHeight="1" x14ac:dyDescent="0.25">
      <c r="E387" s="58" t="s">
        <v>789</v>
      </c>
      <c r="F387" s="65" t="s">
        <v>790</v>
      </c>
    </row>
    <row r="388" spans="5:6" customFormat="1" ht="13.15" customHeight="1" x14ac:dyDescent="0.25">
      <c r="E388" s="58" t="s">
        <v>791</v>
      </c>
      <c r="F388" s="65" t="s">
        <v>792</v>
      </c>
    </row>
    <row r="389" spans="5:6" customFormat="1" ht="13.15" customHeight="1" x14ac:dyDescent="0.25">
      <c r="E389" s="58" t="s">
        <v>793</v>
      </c>
      <c r="F389" s="65" t="s">
        <v>794</v>
      </c>
    </row>
    <row r="390" spans="5:6" customFormat="1" ht="13.15" customHeight="1" x14ac:dyDescent="0.25">
      <c r="E390" s="58" t="s">
        <v>795</v>
      </c>
      <c r="F390" s="65" t="s">
        <v>796</v>
      </c>
    </row>
    <row r="391" spans="5:6" customFormat="1" ht="13.15" customHeight="1" x14ac:dyDescent="0.25">
      <c r="E391" s="58" t="s">
        <v>797</v>
      </c>
      <c r="F391" s="65" t="s">
        <v>798</v>
      </c>
    </row>
    <row r="392" spans="5:6" customFormat="1" ht="13.15" customHeight="1" x14ac:dyDescent="0.25">
      <c r="E392" s="58" t="s">
        <v>799</v>
      </c>
      <c r="F392" s="65" t="s">
        <v>800</v>
      </c>
    </row>
    <row r="393" spans="5:6" customFormat="1" ht="13.15" customHeight="1" x14ac:dyDescent="0.25">
      <c r="E393" s="58" t="s">
        <v>801</v>
      </c>
      <c r="F393" s="65" t="s">
        <v>802</v>
      </c>
    </row>
    <row r="394" spans="5:6" customFormat="1" ht="13.15" customHeight="1" x14ac:dyDescent="0.25">
      <c r="E394" s="58" t="s">
        <v>803</v>
      </c>
      <c r="F394" s="65" t="s">
        <v>804</v>
      </c>
    </row>
    <row r="395" spans="5:6" customFormat="1" ht="13.15" customHeight="1" x14ac:dyDescent="0.25">
      <c r="E395" s="58" t="s">
        <v>805</v>
      </c>
      <c r="F395" s="65" t="s">
        <v>806</v>
      </c>
    </row>
    <row r="396" spans="5:6" customFormat="1" ht="13.15" customHeight="1" x14ac:dyDescent="0.25">
      <c r="E396" s="58" t="s">
        <v>807</v>
      </c>
      <c r="F396" s="65" t="s">
        <v>808</v>
      </c>
    </row>
    <row r="397" spans="5:6" customFormat="1" ht="13.15" customHeight="1" x14ac:dyDescent="0.25">
      <c r="E397" s="58" t="s">
        <v>809</v>
      </c>
      <c r="F397" s="65" t="s">
        <v>810</v>
      </c>
    </row>
    <row r="398" spans="5:6" customFormat="1" ht="13.15" customHeight="1" x14ac:dyDescent="0.25">
      <c r="E398" s="58" t="s">
        <v>811</v>
      </c>
      <c r="F398" s="65" t="s">
        <v>812</v>
      </c>
    </row>
    <row r="399" spans="5:6" customFormat="1" ht="13.15" customHeight="1" x14ac:dyDescent="0.25">
      <c r="E399" s="58" t="s">
        <v>813</v>
      </c>
      <c r="F399" s="65" t="s">
        <v>814</v>
      </c>
    </row>
    <row r="400" spans="5:6" customFormat="1" ht="13.15" customHeight="1" x14ac:dyDescent="0.25">
      <c r="E400" s="58" t="s">
        <v>815</v>
      </c>
      <c r="F400" s="65" t="s">
        <v>816</v>
      </c>
    </row>
    <row r="401" spans="5:6" customFormat="1" ht="13.15" customHeight="1" x14ac:dyDescent="0.25">
      <c r="E401" s="58" t="s">
        <v>817</v>
      </c>
      <c r="F401" s="65" t="s">
        <v>818</v>
      </c>
    </row>
    <row r="402" spans="5:6" customFormat="1" ht="13.15" customHeight="1" x14ac:dyDescent="0.25">
      <c r="E402" s="58" t="s">
        <v>819</v>
      </c>
      <c r="F402" s="65" t="s">
        <v>820</v>
      </c>
    </row>
    <row r="403" spans="5:6" customFormat="1" ht="13.15" customHeight="1" x14ac:dyDescent="0.25">
      <c r="E403" s="58" t="s">
        <v>821</v>
      </c>
      <c r="F403" s="65" t="s">
        <v>822</v>
      </c>
    </row>
    <row r="404" spans="5:6" customFormat="1" ht="13.15" customHeight="1" x14ac:dyDescent="0.25">
      <c r="E404" s="58" t="s">
        <v>823</v>
      </c>
      <c r="F404" s="65" t="s">
        <v>824</v>
      </c>
    </row>
    <row r="405" spans="5:6" customFormat="1" ht="13.15" customHeight="1" x14ac:dyDescent="0.25">
      <c r="E405" s="58" t="s">
        <v>825</v>
      </c>
      <c r="F405" s="65" t="s">
        <v>826</v>
      </c>
    </row>
    <row r="406" spans="5:6" customFormat="1" ht="13.15" customHeight="1" x14ac:dyDescent="0.25">
      <c r="E406" s="58" t="s">
        <v>827</v>
      </c>
      <c r="F406" s="65" t="s">
        <v>828</v>
      </c>
    </row>
    <row r="407" spans="5:6" customFormat="1" ht="13.15" customHeight="1" x14ac:dyDescent="0.25">
      <c r="E407" s="58" t="s">
        <v>829</v>
      </c>
      <c r="F407" s="65" t="s">
        <v>830</v>
      </c>
    </row>
    <row r="408" spans="5:6" customFormat="1" ht="13.15" customHeight="1" x14ac:dyDescent="0.25">
      <c r="E408" s="58" t="s">
        <v>831</v>
      </c>
      <c r="F408" s="65" t="s">
        <v>832</v>
      </c>
    </row>
    <row r="409" spans="5:6" customFormat="1" ht="13.15" customHeight="1" x14ac:dyDescent="0.25">
      <c r="E409" s="58" t="s">
        <v>833</v>
      </c>
      <c r="F409" s="65" t="s">
        <v>834</v>
      </c>
    </row>
    <row r="410" spans="5:6" customFormat="1" ht="13.15" customHeight="1" x14ac:dyDescent="0.25">
      <c r="E410" s="58" t="s">
        <v>554</v>
      </c>
      <c r="F410" s="65" t="s">
        <v>835</v>
      </c>
    </row>
    <row r="411" spans="5:6" customFormat="1" ht="13.15" customHeight="1" x14ac:dyDescent="0.25">
      <c r="E411" s="58" t="s">
        <v>836</v>
      </c>
      <c r="F411" s="65" t="s">
        <v>837</v>
      </c>
    </row>
    <row r="412" spans="5:6" customFormat="1" ht="13.15" customHeight="1" x14ac:dyDescent="0.25">
      <c r="E412" s="58" t="s">
        <v>838</v>
      </c>
      <c r="F412" s="65" t="s">
        <v>839</v>
      </c>
    </row>
    <row r="413" spans="5:6" customFormat="1" ht="13.15" customHeight="1" x14ac:dyDescent="0.25">
      <c r="E413" s="58" t="s">
        <v>840</v>
      </c>
      <c r="F413" s="65" t="s">
        <v>841</v>
      </c>
    </row>
    <row r="414" spans="5:6" customFormat="1" ht="13.15" customHeight="1" x14ac:dyDescent="0.25">
      <c r="E414" s="58" t="s">
        <v>842</v>
      </c>
      <c r="F414" s="65" t="s">
        <v>843</v>
      </c>
    </row>
    <row r="415" spans="5:6" customFormat="1" ht="13.15" customHeight="1" x14ac:dyDescent="0.25">
      <c r="E415" s="58" t="s">
        <v>844</v>
      </c>
      <c r="F415" s="65" t="s">
        <v>845</v>
      </c>
    </row>
    <row r="416" spans="5:6" customFormat="1" ht="13.15" customHeight="1" x14ac:dyDescent="0.25">
      <c r="E416" s="58" t="s">
        <v>846</v>
      </c>
      <c r="F416" s="65" t="s">
        <v>847</v>
      </c>
    </row>
    <row r="417" spans="5:6" customFormat="1" ht="13.15" customHeight="1" x14ac:dyDescent="0.25">
      <c r="E417" s="58" t="s">
        <v>848</v>
      </c>
      <c r="F417" s="65" t="s">
        <v>849</v>
      </c>
    </row>
    <row r="418" spans="5:6" customFormat="1" ht="13.15" customHeight="1" x14ac:dyDescent="0.25">
      <c r="E418" s="58" t="s">
        <v>850</v>
      </c>
      <c r="F418" s="65" t="s">
        <v>851</v>
      </c>
    </row>
    <row r="419" spans="5:6" customFormat="1" ht="13.15" customHeight="1" x14ac:dyDescent="0.25">
      <c r="E419" s="58" t="s">
        <v>852</v>
      </c>
      <c r="F419" s="65" t="s">
        <v>853</v>
      </c>
    </row>
    <row r="420" spans="5:6" customFormat="1" ht="13.15" customHeight="1" x14ac:dyDescent="0.25">
      <c r="E420" s="58" t="s">
        <v>854</v>
      </c>
      <c r="F420" s="65" t="s">
        <v>855</v>
      </c>
    </row>
    <row r="421" spans="5:6" customFormat="1" ht="13.15" customHeight="1" x14ac:dyDescent="0.25">
      <c r="E421" s="58" t="s">
        <v>856</v>
      </c>
      <c r="F421" s="65" t="s">
        <v>857</v>
      </c>
    </row>
    <row r="422" spans="5:6" customFormat="1" ht="13.15" customHeight="1" x14ac:dyDescent="0.25">
      <c r="E422" s="58" t="s">
        <v>858</v>
      </c>
      <c r="F422" s="65" t="s">
        <v>859</v>
      </c>
    </row>
    <row r="423" spans="5:6" customFormat="1" ht="13.15" customHeight="1" x14ac:dyDescent="0.25">
      <c r="E423" s="58" t="s">
        <v>860</v>
      </c>
      <c r="F423" s="65" t="s">
        <v>861</v>
      </c>
    </row>
    <row r="424" spans="5:6" customFormat="1" ht="13.15" customHeight="1" x14ac:dyDescent="0.25">
      <c r="E424" s="58" t="s">
        <v>862</v>
      </c>
      <c r="F424" s="65" t="s">
        <v>863</v>
      </c>
    </row>
    <row r="425" spans="5:6" customFormat="1" ht="13.15" customHeight="1" x14ac:dyDescent="0.25">
      <c r="E425" s="58" t="s">
        <v>864</v>
      </c>
      <c r="F425" s="65" t="s">
        <v>865</v>
      </c>
    </row>
    <row r="426" spans="5:6" customFormat="1" ht="13.15" customHeight="1" x14ac:dyDescent="0.25">
      <c r="E426" s="58" t="s">
        <v>866</v>
      </c>
      <c r="F426" s="65" t="s">
        <v>867</v>
      </c>
    </row>
    <row r="427" spans="5:6" customFormat="1" ht="13.15" customHeight="1" x14ac:dyDescent="0.25">
      <c r="E427" s="58" t="s">
        <v>868</v>
      </c>
      <c r="F427" s="65" t="s">
        <v>869</v>
      </c>
    </row>
    <row r="428" spans="5:6" customFormat="1" ht="13.15" customHeight="1" x14ac:dyDescent="0.25">
      <c r="E428" s="58" t="s">
        <v>870</v>
      </c>
      <c r="F428" s="65" t="s">
        <v>871</v>
      </c>
    </row>
    <row r="429" spans="5:6" customFormat="1" ht="13.15" customHeight="1" x14ac:dyDescent="0.25">
      <c r="E429" s="58" t="s">
        <v>870</v>
      </c>
      <c r="F429" s="65" t="s">
        <v>872</v>
      </c>
    </row>
    <row r="430" spans="5:6" customFormat="1" ht="13.15" customHeight="1" x14ac:dyDescent="0.25">
      <c r="E430" s="58" t="s">
        <v>873</v>
      </c>
      <c r="F430" s="65" t="s">
        <v>874</v>
      </c>
    </row>
    <row r="431" spans="5:6" customFormat="1" ht="13.15" customHeight="1" x14ac:dyDescent="0.25">
      <c r="E431" s="58" t="s">
        <v>359</v>
      </c>
      <c r="F431" s="65" t="s">
        <v>875</v>
      </c>
    </row>
    <row r="432" spans="5:6" customFormat="1" ht="13.15" customHeight="1" x14ac:dyDescent="0.25">
      <c r="E432" s="58" t="s">
        <v>498</v>
      </c>
      <c r="F432" s="65" t="s">
        <v>876</v>
      </c>
    </row>
    <row r="433" spans="5:6" customFormat="1" ht="13.15" customHeight="1" x14ac:dyDescent="0.25">
      <c r="E433" s="58" t="s">
        <v>877</v>
      </c>
      <c r="F433" s="65" t="s">
        <v>878</v>
      </c>
    </row>
    <row r="434" spans="5:6" customFormat="1" ht="13.15" customHeight="1" x14ac:dyDescent="0.25">
      <c r="E434" s="58" t="s">
        <v>879</v>
      </c>
      <c r="F434" s="65" t="s">
        <v>880</v>
      </c>
    </row>
    <row r="435" spans="5:6" customFormat="1" ht="13.15" customHeight="1" x14ac:dyDescent="0.25">
      <c r="E435" s="58" t="s">
        <v>881</v>
      </c>
      <c r="F435" s="65" t="s">
        <v>882</v>
      </c>
    </row>
    <row r="436" spans="5:6" customFormat="1" ht="13.15" customHeight="1" x14ac:dyDescent="0.25">
      <c r="E436" s="58" t="s">
        <v>883</v>
      </c>
      <c r="F436" s="65" t="s">
        <v>884</v>
      </c>
    </row>
    <row r="437" spans="5:6" customFormat="1" ht="13.15" customHeight="1" x14ac:dyDescent="0.25">
      <c r="E437" s="58" t="s">
        <v>885</v>
      </c>
      <c r="F437" s="65" t="s">
        <v>886</v>
      </c>
    </row>
    <row r="438" spans="5:6" customFormat="1" ht="13.15" customHeight="1" x14ac:dyDescent="0.25">
      <c r="E438" s="58" t="s">
        <v>887</v>
      </c>
      <c r="F438" s="65" t="s">
        <v>888</v>
      </c>
    </row>
    <row r="439" spans="5:6" customFormat="1" ht="13.15" customHeight="1" x14ac:dyDescent="0.25">
      <c r="E439" s="58" t="s">
        <v>889</v>
      </c>
      <c r="F439" s="65" t="s">
        <v>890</v>
      </c>
    </row>
    <row r="440" spans="5:6" customFormat="1" ht="13.15" customHeight="1" x14ac:dyDescent="0.25">
      <c r="E440" s="58" t="s">
        <v>891</v>
      </c>
      <c r="F440" s="65" t="s">
        <v>892</v>
      </c>
    </row>
    <row r="441" spans="5:6" customFormat="1" ht="13.15" customHeight="1" x14ac:dyDescent="0.25">
      <c r="E441" s="58" t="s">
        <v>11</v>
      </c>
      <c r="F441" s="65" t="s">
        <v>893</v>
      </c>
    </row>
    <row r="442" spans="5:6" customFormat="1" ht="13.15" customHeight="1" x14ac:dyDescent="0.25">
      <c r="E442" s="58" t="s">
        <v>894</v>
      </c>
      <c r="F442" s="65" t="s">
        <v>895</v>
      </c>
    </row>
    <row r="443" spans="5:6" customFormat="1" ht="13.15" customHeight="1" x14ac:dyDescent="0.25">
      <c r="E443" s="58" t="s">
        <v>896</v>
      </c>
      <c r="F443" s="65" t="s">
        <v>897</v>
      </c>
    </row>
    <row r="444" spans="5:6" customFormat="1" ht="13.15" customHeight="1" x14ac:dyDescent="0.25">
      <c r="E444" s="58" t="s">
        <v>898</v>
      </c>
      <c r="F444" s="65" t="s">
        <v>899</v>
      </c>
    </row>
    <row r="445" spans="5:6" customFormat="1" ht="13.15" customHeight="1" x14ac:dyDescent="0.25">
      <c r="E445" s="58" t="s">
        <v>900</v>
      </c>
      <c r="F445" s="65" t="s">
        <v>901</v>
      </c>
    </row>
    <row r="446" spans="5:6" customFormat="1" ht="13.15" customHeight="1" x14ac:dyDescent="0.25">
      <c r="E446" s="58" t="s">
        <v>902</v>
      </c>
      <c r="F446" s="65" t="s">
        <v>903</v>
      </c>
    </row>
    <row r="447" spans="5:6" customFormat="1" ht="13.15" customHeight="1" x14ac:dyDescent="0.25">
      <c r="E447" s="58" t="s">
        <v>904</v>
      </c>
      <c r="F447" s="65" t="s">
        <v>905</v>
      </c>
    </row>
    <row r="448" spans="5:6" customFormat="1" ht="13.15" customHeight="1" x14ac:dyDescent="0.25">
      <c r="E448" s="58" t="s">
        <v>906</v>
      </c>
      <c r="F448" s="65" t="s">
        <v>907</v>
      </c>
    </row>
    <row r="449" spans="5:6" customFormat="1" ht="13.15" customHeight="1" x14ac:dyDescent="0.25">
      <c r="E449" s="58" t="s">
        <v>908</v>
      </c>
      <c r="F449" s="65" t="s">
        <v>909</v>
      </c>
    </row>
    <row r="450" spans="5:6" customFormat="1" ht="13.15" customHeight="1" x14ac:dyDescent="0.25">
      <c r="E450" s="58" t="s">
        <v>910</v>
      </c>
      <c r="F450" s="65" t="s">
        <v>911</v>
      </c>
    </row>
    <row r="451" spans="5:6" customFormat="1" ht="13.15" customHeight="1" x14ac:dyDescent="0.25">
      <c r="E451" s="58" t="s">
        <v>912</v>
      </c>
      <c r="F451" s="65" t="s">
        <v>913</v>
      </c>
    </row>
    <row r="452" spans="5:6" customFormat="1" ht="13.15" customHeight="1" x14ac:dyDescent="0.25">
      <c r="E452" s="58" t="s">
        <v>914</v>
      </c>
      <c r="F452" s="65" t="s">
        <v>915</v>
      </c>
    </row>
    <row r="453" spans="5:6" customFormat="1" ht="13.15" customHeight="1" x14ac:dyDescent="0.25">
      <c r="E453" s="58" t="s">
        <v>916</v>
      </c>
      <c r="F453" s="65" t="s">
        <v>917</v>
      </c>
    </row>
    <row r="454" spans="5:6" customFormat="1" ht="13.15" customHeight="1" x14ac:dyDescent="0.25">
      <c r="E454" s="58" t="s">
        <v>918</v>
      </c>
      <c r="F454" s="65" t="s">
        <v>919</v>
      </c>
    </row>
    <row r="455" spans="5:6" customFormat="1" ht="13.15" customHeight="1" x14ac:dyDescent="0.25">
      <c r="E455" s="58" t="s">
        <v>920</v>
      </c>
      <c r="F455" s="65" t="s">
        <v>921</v>
      </c>
    </row>
    <row r="456" spans="5:6" customFormat="1" ht="13.15" customHeight="1" x14ac:dyDescent="0.25">
      <c r="E456" s="58" t="s">
        <v>922</v>
      </c>
      <c r="F456" s="65" t="s">
        <v>923</v>
      </c>
    </row>
    <row r="457" spans="5:6" customFormat="1" ht="13.15" customHeight="1" x14ac:dyDescent="0.25">
      <c r="E457" s="58" t="s">
        <v>924</v>
      </c>
      <c r="F457" s="65" t="s">
        <v>925</v>
      </c>
    </row>
    <row r="458" spans="5:6" customFormat="1" ht="13.15" customHeight="1" x14ac:dyDescent="0.25">
      <c r="E458" s="58" t="s">
        <v>926</v>
      </c>
      <c r="F458" s="65" t="s">
        <v>927</v>
      </c>
    </row>
    <row r="459" spans="5:6" customFormat="1" ht="13.15" customHeight="1" x14ac:dyDescent="0.25">
      <c r="E459" s="58" t="s">
        <v>928</v>
      </c>
      <c r="F459" s="65" t="s">
        <v>929</v>
      </c>
    </row>
    <row r="460" spans="5:6" customFormat="1" ht="13.15" customHeight="1" x14ac:dyDescent="0.25">
      <c r="E460" s="58" t="s">
        <v>930</v>
      </c>
      <c r="F460" s="65" t="s">
        <v>931</v>
      </c>
    </row>
    <row r="461" spans="5:6" customFormat="1" ht="13.15" customHeight="1" x14ac:dyDescent="0.25">
      <c r="E461" s="58" t="s">
        <v>932</v>
      </c>
      <c r="F461" s="65" t="s">
        <v>933</v>
      </c>
    </row>
    <row r="462" spans="5:6" customFormat="1" ht="13.15" customHeight="1" x14ac:dyDescent="0.25">
      <c r="E462" s="58" t="s">
        <v>934</v>
      </c>
      <c r="F462" s="65" t="s">
        <v>935</v>
      </c>
    </row>
    <row r="463" spans="5:6" customFormat="1" ht="13.15" customHeight="1" x14ac:dyDescent="0.25">
      <c r="E463" s="58" t="s">
        <v>936</v>
      </c>
      <c r="F463" s="65" t="s">
        <v>937</v>
      </c>
    </row>
    <row r="464" spans="5:6" customFormat="1" ht="13.15" customHeight="1" x14ac:dyDescent="0.25">
      <c r="E464" s="58" t="s">
        <v>938</v>
      </c>
      <c r="F464" s="65" t="s">
        <v>939</v>
      </c>
    </row>
    <row r="465" spans="5:6" customFormat="1" ht="13.15" customHeight="1" x14ac:dyDescent="0.25">
      <c r="E465" s="58" t="s">
        <v>940</v>
      </c>
      <c r="F465" s="65" t="s">
        <v>941</v>
      </c>
    </row>
    <row r="466" spans="5:6" customFormat="1" ht="13.15" customHeight="1" x14ac:dyDescent="0.25">
      <c r="E466" s="58" t="s">
        <v>942</v>
      </c>
      <c r="F466" s="65" t="s">
        <v>943</v>
      </c>
    </row>
    <row r="467" spans="5:6" customFormat="1" ht="13.15" customHeight="1" x14ac:dyDescent="0.25">
      <c r="E467" s="58" t="s">
        <v>944</v>
      </c>
      <c r="F467" s="65" t="s">
        <v>945</v>
      </c>
    </row>
    <row r="468" spans="5:6" customFormat="1" ht="13.15" customHeight="1" x14ac:dyDescent="0.25">
      <c r="E468" s="58" t="s">
        <v>946</v>
      </c>
      <c r="F468" s="65" t="s">
        <v>947</v>
      </c>
    </row>
    <row r="469" spans="5:6" customFormat="1" ht="13.15" customHeight="1" x14ac:dyDescent="0.25">
      <c r="E469" s="58" t="s">
        <v>948</v>
      </c>
      <c r="F469" s="65" t="s">
        <v>949</v>
      </c>
    </row>
    <row r="470" spans="5:6" customFormat="1" ht="13.15" customHeight="1" x14ac:dyDescent="0.25">
      <c r="E470" s="58" t="s">
        <v>950</v>
      </c>
      <c r="F470" s="65" t="s">
        <v>951</v>
      </c>
    </row>
    <row r="471" spans="5:6" customFormat="1" ht="13.15" customHeight="1" x14ac:dyDescent="0.25">
      <c r="E471" s="58" t="s">
        <v>952</v>
      </c>
      <c r="F471" s="65" t="s">
        <v>953</v>
      </c>
    </row>
    <row r="472" spans="5:6" customFormat="1" ht="13.15" customHeight="1" x14ac:dyDescent="0.25">
      <c r="E472" s="58" t="s">
        <v>954</v>
      </c>
      <c r="F472" s="65" t="s">
        <v>955</v>
      </c>
    </row>
    <row r="473" spans="5:6" customFormat="1" ht="13.15" customHeight="1" x14ac:dyDescent="0.25">
      <c r="E473" s="58" t="s">
        <v>956</v>
      </c>
      <c r="F473" s="65" t="s">
        <v>957</v>
      </c>
    </row>
    <row r="474" spans="5:6" customFormat="1" ht="13.15" customHeight="1" x14ac:dyDescent="0.25">
      <c r="E474" s="58" t="s">
        <v>958</v>
      </c>
      <c r="F474" s="65" t="s">
        <v>959</v>
      </c>
    </row>
    <row r="475" spans="5:6" customFormat="1" ht="13.15" customHeight="1" x14ac:dyDescent="0.25">
      <c r="E475" s="58" t="s">
        <v>960</v>
      </c>
      <c r="F475" s="65" t="s">
        <v>961</v>
      </c>
    </row>
    <row r="476" spans="5:6" customFormat="1" ht="13.15" customHeight="1" x14ac:dyDescent="0.25">
      <c r="E476" s="58" t="s">
        <v>962</v>
      </c>
      <c r="F476" s="65" t="s">
        <v>963</v>
      </c>
    </row>
    <row r="477" spans="5:6" customFormat="1" ht="13.15" customHeight="1" x14ac:dyDescent="0.25">
      <c r="E477" s="58" t="s">
        <v>964</v>
      </c>
      <c r="F477" s="65" t="s">
        <v>965</v>
      </c>
    </row>
    <row r="478" spans="5:6" customFormat="1" ht="13.15" customHeight="1" x14ac:dyDescent="0.25">
      <c r="E478" s="58" t="s">
        <v>966</v>
      </c>
      <c r="F478" s="65" t="s">
        <v>967</v>
      </c>
    </row>
    <row r="479" spans="5:6" customFormat="1" ht="13.15" customHeight="1" x14ac:dyDescent="0.25">
      <c r="E479" s="58" t="s">
        <v>968</v>
      </c>
      <c r="F479" s="65" t="s">
        <v>969</v>
      </c>
    </row>
    <row r="480" spans="5:6" customFormat="1" ht="13.15" customHeight="1" x14ac:dyDescent="0.25">
      <c r="E480" s="58" t="s">
        <v>970</v>
      </c>
      <c r="F480" s="65" t="s">
        <v>971</v>
      </c>
    </row>
    <row r="481" spans="5:6" customFormat="1" ht="13.15" customHeight="1" x14ac:dyDescent="0.25">
      <c r="E481" s="58" t="s">
        <v>972</v>
      </c>
      <c r="F481" s="65" t="s">
        <v>973</v>
      </c>
    </row>
    <row r="482" spans="5:6" customFormat="1" ht="13.15" customHeight="1" x14ac:dyDescent="0.25">
      <c r="E482" s="58" t="s">
        <v>974</v>
      </c>
      <c r="F482" s="65" t="s">
        <v>975</v>
      </c>
    </row>
    <row r="483" spans="5:6" customFormat="1" ht="13.15" customHeight="1" x14ac:dyDescent="0.25">
      <c r="E483" s="58" t="s">
        <v>976</v>
      </c>
      <c r="F483" s="65" t="s">
        <v>977</v>
      </c>
    </row>
    <row r="484" spans="5:6" customFormat="1" ht="13.15" customHeight="1" x14ac:dyDescent="0.25">
      <c r="E484" s="58" t="s">
        <v>978</v>
      </c>
      <c r="F484" s="65" t="s">
        <v>979</v>
      </c>
    </row>
    <row r="485" spans="5:6" customFormat="1" ht="13.15" customHeight="1" x14ac:dyDescent="0.25">
      <c r="E485" s="58" t="s">
        <v>980</v>
      </c>
      <c r="F485" s="65" t="s">
        <v>981</v>
      </c>
    </row>
    <row r="486" spans="5:6" customFormat="1" ht="13.15" customHeight="1" x14ac:dyDescent="0.25">
      <c r="E486" s="58" t="s">
        <v>982</v>
      </c>
      <c r="F486" s="65" t="s">
        <v>983</v>
      </c>
    </row>
    <row r="487" spans="5:6" customFormat="1" ht="13.15" customHeight="1" x14ac:dyDescent="0.25">
      <c r="E487" s="58" t="s">
        <v>984</v>
      </c>
      <c r="F487" s="65" t="s">
        <v>985</v>
      </c>
    </row>
    <row r="488" spans="5:6" customFormat="1" ht="13.15" customHeight="1" x14ac:dyDescent="0.25">
      <c r="E488" s="58" t="s">
        <v>986</v>
      </c>
      <c r="F488" s="65" t="s">
        <v>987</v>
      </c>
    </row>
    <row r="489" spans="5:6" customFormat="1" ht="13.15" customHeight="1" x14ac:dyDescent="0.25">
      <c r="E489" s="58" t="s">
        <v>988</v>
      </c>
      <c r="F489" s="65" t="s">
        <v>989</v>
      </c>
    </row>
    <row r="490" spans="5:6" customFormat="1" ht="13.15" customHeight="1" x14ac:dyDescent="0.25">
      <c r="E490" s="58" t="s">
        <v>990</v>
      </c>
      <c r="F490" s="65" t="s">
        <v>991</v>
      </c>
    </row>
    <row r="491" spans="5:6" customFormat="1" ht="13.15" customHeight="1" x14ac:dyDescent="0.25">
      <c r="E491" s="58" t="s">
        <v>992</v>
      </c>
      <c r="F491" s="65" t="s">
        <v>993</v>
      </c>
    </row>
    <row r="492" spans="5:6" customFormat="1" ht="13.15" customHeight="1" x14ac:dyDescent="0.25">
      <c r="E492" s="58" t="s">
        <v>994</v>
      </c>
      <c r="F492" s="65" t="s">
        <v>995</v>
      </c>
    </row>
    <row r="493" spans="5:6" customFormat="1" ht="13.15" customHeight="1" x14ac:dyDescent="0.25">
      <c r="E493" s="58" t="s">
        <v>996</v>
      </c>
      <c r="F493" s="65" t="s">
        <v>997</v>
      </c>
    </row>
    <row r="494" spans="5:6" customFormat="1" ht="13.15" customHeight="1" x14ac:dyDescent="0.25">
      <c r="E494" s="58" t="s">
        <v>998</v>
      </c>
      <c r="F494" s="65" t="s">
        <v>999</v>
      </c>
    </row>
    <row r="495" spans="5:6" customFormat="1" ht="13.15" customHeight="1" x14ac:dyDescent="0.25">
      <c r="E495" s="58" t="s">
        <v>1000</v>
      </c>
      <c r="F495" s="65" t="s">
        <v>1001</v>
      </c>
    </row>
    <row r="496" spans="5:6" customFormat="1" ht="13.15" customHeight="1" x14ac:dyDescent="0.25">
      <c r="E496" s="58" t="s">
        <v>1002</v>
      </c>
      <c r="F496" s="65" t="s">
        <v>1003</v>
      </c>
    </row>
    <row r="497" spans="5:6" customFormat="1" ht="13.15" customHeight="1" x14ac:dyDescent="0.25">
      <c r="E497" s="58" t="s">
        <v>1004</v>
      </c>
      <c r="F497" s="65" t="s">
        <v>1005</v>
      </c>
    </row>
    <row r="498" spans="5:6" customFormat="1" ht="13.15" customHeight="1" x14ac:dyDescent="0.25">
      <c r="E498" s="58" t="s">
        <v>1006</v>
      </c>
      <c r="F498" s="65" t="s">
        <v>1007</v>
      </c>
    </row>
    <row r="499" spans="5:6" customFormat="1" ht="13.15" customHeight="1" x14ac:dyDescent="0.25">
      <c r="E499" s="58" t="s">
        <v>1008</v>
      </c>
      <c r="F499" s="65" t="s">
        <v>1009</v>
      </c>
    </row>
    <row r="500" spans="5:6" customFormat="1" ht="13.15" customHeight="1" x14ac:dyDescent="0.25">
      <c r="E500" s="58" t="s">
        <v>1010</v>
      </c>
      <c r="F500" s="65" t="s">
        <v>1011</v>
      </c>
    </row>
    <row r="501" spans="5:6" customFormat="1" ht="13.15" customHeight="1" x14ac:dyDescent="0.25">
      <c r="E501" s="58" t="s">
        <v>1012</v>
      </c>
      <c r="F501" s="65" t="s">
        <v>1013</v>
      </c>
    </row>
    <row r="502" spans="5:6" customFormat="1" ht="13.15" customHeight="1" x14ac:dyDescent="0.25">
      <c r="E502" s="58" t="s">
        <v>1014</v>
      </c>
      <c r="F502" s="65" t="s">
        <v>1015</v>
      </c>
    </row>
    <row r="503" spans="5:6" customFormat="1" ht="13.15" customHeight="1" x14ac:dyDescent="0.25">
      <c r="E503" s="58" t="s">
        <v>1016</v>
      </c>
      <c r="F503" s="65" t="s">
        <v>1017</v>
      </c>
    </row>
    <row r="504" spans="5:6" customFormat="1" ht="13.15" customHeight="1" x14ac:dyDescent="0.25">
      <c r="E504" s="58" t="s">
        <v>1018</v>
      </c>
      <c r="F504" s="65" t="s">
        <v>1019</v>
      </c>
    </row>
    <row r="505" spans="5:6" customFormat="1" ht="13.15" customHeight="1" x14ac:dyDescent="0.25">
      <c r="E505" s="58" t="s">
        <v>1020</v>
      </c>
      <c r="F505" s="65" t="s">
        <v>1021</v>
      </c>
    </row>
    <row r="506" spans="5:6" customFormat="1" ht="13.15" customHeight="1" x14ac:dyDescent="0.25">
      <c r="E506" s="58" t="s">
        <v>1022</v>
      </c>
      <c r="F506" s="65" t="s">
        <v>1023</v>
      </c>
    </row>
    <row r="507" spans="5:6" customFormat="1" ht="13.15" customHeight="1" x14ac:dyDescent="0.25">
      <c r="E507" s="58" t="s">
        <v>1024</v>
      </c>
      <c r="F507" s="65" t="s">
        <v>1025</v>
      </c>
    </row>
    <row r="508" spans="5:6" customFormat="1" ht="13.15" customHeight="1" x14ac:dyDescent="0.25">
      <c r="E508" s="58" t="s">
        <v>1026</v>
      </c>
      <c r="F508" s="65" t="s">
        <v>1027</v>
      </c>
    </row>
    <row r="509" spans="5:6" customFormat="1" ht="13.15" customHeight="1" x14ac:dyDescent="0.25">
      <c r="E509" s="58" t="s">
        <v>1028</v>
      </c>
      <c r="F509" s="65" t="s">
        <v>1029</v>
      </c>
    </row>
    <row r="510" spans="5:6" customFormat="1" ht="13.15" customHeight="1" x14ac:dyDescent="0.25">
      <c r="E510" s="58" t="s">
        <v>1030</v>
      </c>
      <c r="F510" s="65" t="s">
        <v>1031</v>
      </c>
    </row>
    <row r="511" spans="5:6" customFormat="1" ht="13.15" customHeight="1" x14ac:dyDescent="0.25">
      <c r="E511" s="58" t="s">
        <v>1032</v>
      </c>
      <c r="F511" s="65" t="s">
        <v>1033</v>
      </c>
    </row>
    <row r="512" spans="5:6" customFormat="1" ht="13.15" customHeight="1" x14ac:dyDescent="0.25">
      <c r="E512" s="58" t="s">
        <v>1034</v>
      </c>
      <c r="F512" s="65" t="s">
        <v>1035</v>
      </c>
    </row>
    <row r="513" spans="5:6" customFormat="1" ht="13.15" customHeight="1" x14ac:dyDescent="0.25">
      <c r="E513" s="58" t="s">
        <v>1036</v>
      </c>
      <c r="F513" s="65" t="s">
        <v>1037</v>
      </c>
    </row>
    <row r="514" spans="5:6" customFormat="1" ht="13.15" customHeight="1" x14ac:dyDescent="0.25">
      <c r="E514" s="58" t="s">
        <v>1038</v>
      </c>
      <c r="F514" s="65" t="s">
        <v>1039</v>
      </c>
    </row>
    <row r="515" spans="5:6" customFormat="1" ht="13.15" customHeight="1" x14ac:dyDescent="0.25">
      <c r="E515" s="58" t="s">
        <v>1040</v>
      </c>
      <c r="F515" s="65" t="s">
        <v>1041</v>
      </c>
    </row>
    <row r="516" spans="5:6" customFormat="1" ht="13.15" customHeight="1" x14ac:dyDescent="0.25">
      <c r="E516" s="58" t="s">
        <v>1042</v>
      </c>
      <c r="F516" s="65" t="s">
        <v>1043</v>
      </c>
    </row>
    <row r="517" spans="5:6" customFormat="1" ht="13.15" customHeight="1" x14ac:dyDescent="0.25">
      <c r="E517" s="58" t="s">
        <v>1044</v>
      </c>
      <c r="F517" s="65" t="s">
        <v>1045</v>
      </c>
    </row>
    <row r="518" spans="5:6" customFormat="1" ht="13.15" customHeight="1" x14ac:dyDescent="0.25">
      <c r="E518" s="58" t="s">
        <v>1046</v>
      </c>
      <c r="F518" s="65" t="s">
        <v>1047</v>
      </c>
    </row>
    <row r="519" spans="5:6" customFormat="1" ht="13.15" customHeight="1" x14ac:dyDescent="0.25">
      <c r="E519" s="58" t="s">
        <v>1048</v>
      </c>
      <c r="F519" s="65" t="s">
        <v>1049</v>
      </c>
    </row>
    <row r="520" spans="5:6" customFormat="1" ht="13.15" customHeight="1" x14ac:dyDescent="0.25">
      <c r="E520" s="58" t="s">
        <v>1050</v>
      </c>
      <c r="F520" s="65" t="s">
        <v>1051</v>
      </c>
    </row>
    <row r="521" spans="5:6" customFormat="1" ht="13.15" customHeight="1" x14ac:dyDescent="0.25">
      <c r="E521" s="58" t="s">
        <v>1052</v>
      </c>
      <c r="F521" s="65" t="s">
        <v>1053</v>
      </c>
    </row>
    <row r="522" spans="5:6" customFormat="1" ht="13.15" customHeight="1" x14ac:dyDescent="0.25">
      <c r="E522" s="58" t="s">
        <v>1054</v>
      </c>
      <c r="F522" s="65" t="s">
        <v>1055</v>
      </c>
    </row>
    <row r="523" spans="5:6" customFormat="1" ht="13.15" customHeight="1" x14ac:dyDescent="0.25">
      <c r="E523" s="58" t="s">
        <v>1056</v>
      </c>
      <c r="F523" s="65" t="s">
        <v>1057</v>
      </c>
    </row>
    <row r="524" spans="5:6" customFormat="1" ht="13.15" customHeight="1" x14ac:dyDescent="0.25">
      <c r="E524" s="58" t="s">
        <v>1056</v>
      </c>
      <c r="F524" s="65" t="s">
        <v>1058</v>
      </c>
    </row>
    <row r="525" spans="5:6" customFormat="1" ht="13.15" customHeight="1" x14ac:dyDescent="0.25">
      <c r="E525" s="58" t="s">
        <v>1059</v>
      </c>
      <c r="F525" s="65" t="s">
        <v>1060</v>
      </c>
    </row>
    <row r="526" spans="5:6" customFormat="1" ht="13.15" customHeight="1" x14ac:dyDescent="0.25">
      <c r="E526" s="58" t="s">
        <v>1061</v>
      </c>
      <c r="F526" s="65" t="s">
        <v>1062</v>
      </c>
    </row>
    <row r="527" spans="5:6" customFormat="1" ht="13.15" customHeight="1" x14ac:dyDescent="0.25">
      <c r="E527" s="58" t="s">
        <v>1063</v>
      </c>
      <c r="F527" s="65" t="s">
        <v>1064</v>
      </c>
    </row>
    <row r="528" spans="5:6" customFormat="1" ht="13.15" customHeight="1" x14ac:dyDescent="0.25">
      <c r="E528" s="58" t="s">
        <v>1065</v>
      </c>
      <c r="F528" s="65" t="s">
        <v>1066</v>
      </c>
    </row>
    <row r="529" spans="5:6" customFormat="1" ht="13.15" customHeight="1" x14ac:dyDescent="0.25">
      <c r="E529" s="58" t="s">
        <v>1067</v>
      </c>
      <c r="F529" s="65" t="s">
        <v>1068</v>
      </c>
    </row>
    <row r="530" spans="5:6" customFormat="1" ht="13.15" customHeight="1" x14ac:dyDescent="0.25">
      <c r="E530" s="58" t="s">
        <v>1069</v>
      </c>
      <c r="F530" s="65" t="s">
        <v>1070</v>
      </c>
    </row>
    <row r="531" spans="5:6" customFormat="1" ht="13.15" customHeight="1" x14ac:dyDescent="0.25">
      <c r="E531" s="58" t="s">
        <v>1071</v>
      </c>
      <c r="F531" s="65" t="s">
        <v>1072</v>
      </c>
    </row>
    <row r="532" spans="5:6" customFormat="1" ht="13.15" customHeight="1" x14ac:dyDescent="0.25">
      <c r="E532" s="58" t="s">
        <v>1073</v>
      </c>
      <c r="F532" s="65" t="s">
        <v>1074</v>
      </c>
    </row>
    <row r="533" spans="5:6" customFormat="1" ht="13.15" customHeight="1" x14ac:dyDescent="0.25">
      <c r="E533" s="58" t="s">
        <v>1075</v>
      </c>
      <c r="F533" s="65" t="s">
        <v>1076</v>
      </c>
    </row>
    <row r="534" spans="5:6" customFormat="1" ht="13.15" customHeight="1" x14ac:dyDescent="0.25">
      <c r="E534" s="58" t="s">
        <v>1077</v>
      </c>
      <c r="F534" s="65" t="s">
        <v>1078</v>
      </c>
    </row>
    <row r="535" spans="5:6" customFormat="1" ht="13.15" customHeight="1" x14ac:dyDescent="0.25">
      <c r="E535" s="58" t="s">
        <v>1079</v>
      </c>
      <c r="F535" s="65" t="s">
        <v>1080</v>
      </c>
    </row>
    <row r="536" spans="5:6" customFormat="1" ht="13.15" customHeight="1" x14ac:dyDescent="0.25">
      <c r="E536" s="58" t="s">
        <v>1081</v>
      </c>
      <c r="F536" s="65" t="s">
        <v>1082</v>
      </c>
    </row>
    <row r="537" spans="5:6" customFormat="1" ht="13.15" customHeight="1" x14ac:dyDescent="0.25">
      <c r="E537" s="58" t="s">
        <v>1083</v>
      </c>
      <c r="F537" s="65" t="s">
        <v>1084</v>
      </c>
    </row>
    <row r="538" spans="5:6" customFormat="1" ht="13.15" customHeight="1" x14ac:dyDescent="0.25">
      <c r="E538" s="58" t="s">
        <v>1085</v>
      </c>
      <c r="F538" s="65" t="s">
        <v>1086</v>
      </c>
    </row>
    <row r="539" spans="5:6" customFormat="1" ht="13.15" customHeight="1" x14ac:dyDescent="0.25">
      <c r="E539" s="58" t="s">
        <v>554</v>
      </c>
      <c r="F539" s="65" t="s">
        <v>1087</v>
      </c>
    </row>
    <row r="540" spans="5:6" customFormat="1" ht="13.15" customHeight="1" x14ac:dyDescent="0.25">
      <c r="E540" s="58" t="s">
        <v>1088</v>
      </c>
      <c r="F540" s="65" t="s">
        <v>1089</v>
      </c>
    </row>
    <row r="541" spans="5:6" customFormat="1" ht="13.15" customHeight="1" x14ac:dyDescent="0.25">
      <c r="E541" s="58" t="s">
        <v>1090</v>
      </c>
      <c r="F541" s="65" t="s">
        <v>1091</v>
      </c>
    </row>
    <row r="542" spans="5:6" customFormat="1" ht="13.15" customHeight="1" x14ac:dyDescent="0.25">
      <c r="E542" s="58" t="s">
        <v>1092</v>
      </c>
      <c r="F542" s="65" t="s">
        <v>1093</v>
      </c>
    </row>
    <row r="543" spans="5:6" customFormat="1" ht="13.15" customHeight="1" x14ac:dyDescent="0.25">
      <c r="E543" s="58" t="s">
        <v>1094</v>
      </c>
      <c r="F543" s="65" t="s">
        <v>1095</v>
      </c>
    </row>
    <row r="544" spans="5:6" customFormat="1" ht="13.15" customHeight="1" x14ac:dyDescent="0.25">
      <c r="E544" s="58" t="s">
        <v>1096</v>
      </c>
      <c r="F544" s="65" t="s">
        <v>1097</v>
      </c>
    </row>
    <row r="545" spans="5:6" customFormat="1" ht="13.15" customHeight="1" x14ac:dyDescent="0.25">
      <c r="E545" s="58" t="s">
        <v>1098</v>
      </c>
      <c r="F545" s="65" t="s">
        <v>1099</v>
      </c>
    </row>
    <row r="546" spans="5:6" customFormat="1" ht="13.15" customHeight="1" x14ac:dyDescent="0.25">
      <c r="E546" s="58" t="s">
        <v>1100</v>
      </c>
      <c r="F546" s="65" t="s">
        <v>1101</v>
      </c>
    </row>
    <row r="547" spans="5:6" customFormat="1" ht="13.15" customHeight="1" x14ac:dyDescent="0.25">
      <c r="E547" s="58" t="s">
        <v>1102</v>
      </c>
      <c r="F547" s="65" t="s">
        <v>1103</v>
      </c>
    </row>
    <row r="548" spans="5:6" customFormat="1" ht="13.15" customHeight="1" x14ac:dyDescent="0.25">
      <c r="E548" s="58" t="s">
        <v>1104</v>
      </c>
      <c r="F548" s="65" t="s">
        <v>1105</v>
      </c>
    </row>
    <row r="549" spans="5:6" customFormat="1" ht="13.15" customHeight="1" x14ac:dyDescent="0.25">
      <c r="E549" s="58" t="s">
        <v>1106</v>
      </c>
      <c r="F549" s="65" t="s">
        <v>1107</v>
      </c>
    </row>
    <row r="550" spans="5:6" customFormat="1" ht="13.15" customHeight="1" x14ac:dyDescent="0.25">
      <c r="E550" s="58" t="s">
        <v>1108</v>
      </c>
      <c r="F550" s="65" t="s">
        <v>1109</v>
      </c>
    </row>
    <row r="551" spans="5:6" customFormat="1" ht="13.15" customHeight="1" x14ac:dyDescent="0.25">
      <c r="E551" s="58" t="s">
        <v>1110</v>
      </c>
      <c r="F551" s="65" t="s">
        <v>1111</v>
      </c>
    </row>
    <row r="552" spans="5:6" customFormat="1" ht="13.15" customHeight="1" x14ac:dyDescent="0.25">
      <c r="E552" s="58" t="s">
        <v>1112</v>
      </c>
      <c r="F552" s="65" t="s">
        <v>1113</v>
      </c>
    </row>
    <row r="553" spans="5:6" customFormat="1" ht="13.15" customHeight="1" x14ac:dyDescent="0.25">
      <c r="E553" s="58" t="s">
        <v>1114</v>
      </c>
      <c r="F553" s="65" t="s">
        <v>1115</v>
      </c>
    </row>
    <row r="554" spans="5:6" customFormat="1" ht="13.15" customHeight="1" x14ac:dyDescent="0.25">
      <c r="E554" s="58" t="s">
        <v>1116</v>
      </c>
      <c r="F554" s="65" t="s">
        <v>1117</v>
      </c>
    </row>
    <row r="555" spans="5:6" customFormat="1" ht="13.15" customHeight="1" x14ac:dyDescent="0.25">
      <c r="E555" s="58" t="s">
        <v>1118</v>
      </c>
      <c r="F555" s="65" t="s">
        <v>1119</v>
      </c>
    </row>
    <row r="556" spans="5:6" customFormat="1" ht="13.15" customHeight="1" x14ac:dyDescent="0.25">
      <c r="E556" s="58" t="s">
        <v>1120</v>
      </c>
      <c r="F556" s="65" t="s">
        <v>1121</v>
      </c>
    </row>
    <row r="557" spans="5:6" customFormat="1" ht="13.15" customHeight="1" x14ac:dyDescent="0.25">
      <c r="E557" s="58" t="s">
        <v>1122</v>
      </c>
      <c r="F557" s="65" t="s">
        <v>1123</v>
      </c>
    </row>
    <row r="558" spans="5:6" customFormat="1" ht="12.75" customHeight="1" x14ac:dyDescent="0.25">
      <c r="E558" s="58" t="s">
        <v>1124</v>
      </c>
      <c r="F558" s="65" t="s">
        <v>1125</v>
      </c>
    </row>
    <row r="559" spans="5:6" customFormat="1" ht="13.15" customHeight="1" x14ac:dyDescent="0.25">
      <c r="E559" s="58" t="s">
        <v>1126</v>
      </c>
      <c r="F559" s="65" t="s">
        <v>1127</v>
      </c>
    </row>
    <row r="560" spans="5:6" customFormat="1" ht="13.15" customHeight="1" x14ac:dyDescent="0.25">
      <c r="E560" s="58" t="s">
        <v>1128</v>
      </c>
      <c r="F560" s="65" t="s">
        <v>1129</v>
      </c>
    </row>
    <row r="561" spans="5:6" customFormat="1" ht="13.15" customHeight="1" x14ac:dyDescent="0.25">
      <c r="E561" s="58" t="s">
        <v>1130</v>
      </c>
      <c r="F561" s="65" t="s">
        <v>1131</v>
      </c>
    </row>
    <row r="562" spans="5:6" customFormat="1" ht="13.15" customHeight="1" x14ac:dyDescent="0.25">
      <c r="E562" s="58" t="s">
        <v>1132</v>
      </c>
      <c r="F562" s="65" t="s">
        <v>1133</v>
      </c>
    </row>
    <row r="563" spans="5:6" customFormat="1" ht="13.15" customHeight="1" x14ac:dyDescent="0.25">
      <c r="E563" s="58" t="s">
        <v>1134</v>
      </c>
      <c r="F563" s="65" t="s">
        <v>1135</v>
      </c>
    </row>
    <row r="564" spans="5:6" customFormat="1" ht="13.15" customHeight="1" x14ac:dyDescent="0.25">
      <c r="E564" s="58" t="s">
        <v>1136</v>
      </c>
      <c r="F564" s="65" t="s">
        <v>1137</v>
      </c>
    </row>
    <row r="565" spans="5:6" customFormat="1" ht="13.15" customHeight="1" x14ac:dyDescent="0.25">
      <c r="E565" s="58" t="s">
        <v>1138</v>
      </c>
      <c r="F565" s="65" t="s">
        <v>1139</v>
      </c>
    </row>
    <row r="566" spans="5:6" customFormat="1" ht="13.15" customHeight="1" x14ac:dyDescent="0.25">
      <c r="E566" s="58" t="s">
        <v>1140</v>
      </c>
      <c r="F566" s="65" t="s">
        <v>1141</v>
      </c>
    </row>
    <row r="567" spans="5:6" customFormat="1" ht="13.15" customHeight="1" x14ac:dyDescent="0.25">
      <c r="E567" s="58" t="s">
        <v>1142</v>
      </c>
      <c r="F567" s="65" t="s">
        <v>1143</v>
      </c>
    </row>
    <row r="568" spans="5:6" customFormat="1" ht="13.15" customHeight="1" x14ac:dyDescent="0.25">
      <c r="E568" s="58" t="s">
        <v>1144</v>
      </c>
      <c r="F568" s="65" t="s">
        <v>1145</v>
      </c>
    </row>
    <row r="569" spans="5:6" customFormat="1" ht="13.15" customHeight="1" x14ac:dyDescent="0.25">
      <c r="E569" s="58" t="s">
        <v>1146</v>
      </c>
      <c r="F569" s="65" t="s">
        <v>1147</v>
      </c>
    </row>
    <row r="570" spans="5:6" customFormat="1" ht="13.15" customHeight="1" x14ac:dyDescent="0.25">
      <c r="E570" s="58" t="s">
        <v>1148</v>
      </c>
      <c r="F570" s="65" t="s">
        <v>1149</v>
      </c>
    </row>
    <row r="571" spans="5:6" customFormat="1" ht="13.15" customHeight="1" x14ac:dyDescent="0.25">
      <c r="E571" s="58" t="s">
        <v>1150</v>
      </c>
      <c r="F571" s="65" t="s">
        <v>1151</v>
      </c>
    </row>
    <row r="572" spans="5:6" customFormat="1" ht="13.15" customHeight="1" x14ac:dyDescent="0.25">
      <c r="E572" s="58" t="s">
        <v>1152</v>
      </c>
      <c r="F572" s="65" t="s">
        <v>1153</v>
      </c>
    </row>
    <row r="573" spans="5:6" customFormat="1" ht="13.15" customHeight="1" x14ac:dyDescent="0.25">
      <c r="E573" s="58" t="s">
        <v>1154</v>
      </c>
      <c r="F573" s="65" t="s">
        <v>1155</v>
      </c>
    </row>
    <row r="574" spans="5:6" customFormat="1" ht="13.15" customHeight="1" x14ac:dyDescent="0.25">
      <c r="E574" s="58" t="s">
        <v>1156</v>
      </c>
      <c r="F574" s="65" t="s">
        <v>1157</v>
      </c>
    </row>
    <row r="575" spans="5:6" customFormat="1" ht="13.15" customHeight="1" x14ac:dyDescent="0.25">
      <c r="E575" s="58" t="s">
        <v>1158</v>
      </c>
      <c r="F575" s="65" t="s">
        <v>1159</v>
      </c>
    </row>
    <row r="576" spans="5:6" customFormat="1" ht="13.15" customHeight="1" x14ac:dyDescent="0.25">
      <c r="E576" s="58" t="s">
        <v>1160</v>
      </c>
      <c r="F576" s="65" t="s">
        <v>1161</v>
      </c>
    </row>
    <row r="577" spans="5:6" customFormat="1" ht="13.15" customHeight="1" x14ac:dyDescent="0.25">
      <c r="E577" s="58" t="s">
        <v>1162</v>
      </c>
      <c r="F577" s="65" t="s">
        <v>1163</v>
      </c>
    </row>
    <row r="578" spans="5:6" customFormat="1" ht="13.15" customHeight="1" x14ac:dyDescent="0.25">
      <c r="E578" s="58" t="s">
        <v>1164</v>
      </c>
      <c r="F578" s="65" t="s">
        <v>1165</v>
      </c>
    </row>
    <row r="579" spans="5:6" customFormat="1" ht="13.15" customHeight="1" x14ac:dyDescent="0.25">
      <c r="E579" s="58" t="s">
        <v>1166</v>
      </c>
      <c r="F579" s="65" t="s">
        <v>1167</v>
      </c>
    </row>
    <row r="580" spans="5:6" customFormat="1" ht="13.15" customHeight="1" x14ac:dyDescent="0.25">
      <c r="E580" s="58" t="s">
        <v>1168</v>
      </c>
      <c r="F580" s="65" t="s">
        <v>1169</v>
      </c>
    </row>
    <row r="581" spans="5:6" customFormat="1" ht="13.15" customHeight="1" x14ac:dyDescent="0.25">
      <c r="E581" s="58" t="s">
        <v>1170</v>
      </c>
      <c r="F581" s="65" t="s">
        <v>1171</v>
      </c>
    </row>
    <row r="582" spans="5:6" customFormat="1" ht="13.15" customHeight="1" x14ac:dyDescent="0.25">
      <c r="E582" s="58" t="s">
        <v>1172</v>
      </c>
      <c r="F582" s="65" t="s">
        <v>1173</v>
      </c>
    </row>
    <row r="583" spans="5:6" customFormat="1" ht="13.15" customHeight="1" x14ac:dyDescent="0.25">
      <c r="E583" s="58" t="s">
        <v>1174</v>
      </c>
      <c r="F583" s="65" t="s">
        <v>1175</v>
      </c>
    </row>
    <row r="584" spans="5:6" customFormat="1" ht="13.15" customHeight="1" x14ac:dyDescent="0.25">
      <c r="E584" s="58" t="s">
        <v>1176</v>
      </c>
      <c r="F584" s="65" t="s">
        <v>1177</v>
      </c>
    </row>
    <row r="585" spans="5:6" customFormat="1" ht="13.15" customHeight="1" x14ac:dyDescent="0.25">
      <c r="E585" s="58" t="s">
        <v>1178</v>
      </c>
      <c r="F585" s="65" t="s">
        <v>1179</v>
      </c>
    </row>
    <row r="586" spans="5:6" customFormat="1" ht="13.15" customHeight="1" x14ac:dyDescent="0.25">
      <c r="E586" s="58" t="s">
        <v>1180</v>
      </c>
      <c r="F586" s="65" t="s">
        <v>1181</v>
      </c>
    </row>
    <row r="587" spans="5:6" customFormat="1" ht="13.15" customHeight="1" x14ac:dyDescent="0.25">
      <c r="E587" s="58" t="s">
        <v>1182</v>
      </c>
      <c r="F587" s="65" t="s">
        <v>1183</v>
      </c>
    </row>
    <row r="588" spans="5:6" customFormat="1" ht="13.15" customHeight="1" x14ac:dyDescent="0.25">
      <c r="E588" s="58" t="s">
        <v>1184</v>
      </c>
      <c r="F588" s="65" t="s">
        <v>1185</v>
      </c>
    </row>
    <row r="589" spans="5:6" customFormat="1" ht="13.15" customHeight="1" x14ac:dyDescent="0.25">
      <c r="E589" s="58" t="s">
        <v>1186</v>
      </c>
      <c r="F589" s="65" t="s">
        <v>1187</v>
      </c>
    </row>
    <row r="590" spans="5:6" customFormat="1" ht="13.15" customHeight="1" x14ac:dyDescent="0.25">
      <c r="E590" s="58" t="s">
        <v>1188</v>
      </c>
      <c r="F590" s="65" t="s">
        <v>1189</v>
      </c>
    </row>
    <row r="591" spans="5:6" customFormat="1" ht="13.15" customHeight="1" x14ac:dyDescent="0.25">
      <c r="E591" s="58" t="s">
        <v>1190</v>
      </c>
      <c r="F591" s="65" t="s">
        <v>1191</v>
      </c>
    </row>
    <row r="592" spans="5:6" customFormat="1" ht="13.15" customHeight="1" x14ac:dyDescent="0.25">
      <c r="E592" s="58" t="s">
        <v>1192</v>
      </c>
      <c r="F592" s="65" t="s">
        <v>1193</v>
      </c>
    </row>
    <row r="593" spans="5:6" customFormat="1" ht="13.15" customHeight="1" x14ac:dyDescent="0.25">
      <c r="E593" s="58" t="s">
        <v>1194</v>
      </c>
      <c r="F593" s="65" t="s">
        <v>1195</v>
      </c>
    </row>
    <row r="594" spans="5:6" customFormat="1" ht="13.15" customHeight="1" x14ac:dyDescent="0.25">
      <c r="E594" s="58" t="s">
        <v>1196</v>
      </c>
      <c r="F594" s="65" t="s">
        <v>1197</v>
      </c>
    </row>
    <row r="595" spans="5:6" customFormat="1" ht="13.15" customHeight="1" x14ac:dyDescent="0.25">
      <c r="E595" s="58" t="s">
        <v>98</v>
      </c>
      <c r="F595" s="65" t="s">
        <v>1198</v>
      </c>
    </row>
    <row r="596" spans="5:6" customFormat="1" ht="13.15" customHeight="1" x14ac:dyDescent="0.25">
      <c r="E596" s="58" t="s">
        <v>1199</v>
      </c>
      <c r="F596" s="65" t="s">
        <v>1200</v>
      </c>
    </row>
    <row r="597" spans="5:6" customFormat="1" ht="13.15" customHeight="1" x14ac:dyDescent="0.25">
      <c r="E597" s="58" t="s">
        <v>1201</v>
      </c>
      <c r="F597" s="65" t="s">
        <v>1202</v>
      </c>
    </row>
    <row r="598" spans="5:6" customFormat="1" ht="13.15" customHeight="1" x14ac:dyDescent="0.25">
      <c r="E598" s="58" t="s">
        <v>1203</v>
      </c>
      <c r="F598" s="65" t="s">
        <v>1204</v>
      </c>
    </row>
    <row r="599" spans="5:6" customFormat="1" ht="13.15" customHeight="1" x14ac:dyDescent="0.25">
      <c r="E599" s="58" t="s">
        <v>1205</v>
      </c>
      <c r="F599" s="65" t="s">
        <v>1206</v>
      </c>
    </row>
    <row r="600" spans="5:6" customFormat="1" ht="13.15" customHeight="1" x14ac:dyDescent="0.25">
      <c r="E600" s="58" t="s">
        <v>1207</v>
      </c>
      <c r="F600" s="65" t="s">
        <v>1208</v>
      </c>
    </row>
    <row r="601" spans="5:6" customFormat="1" ht="13.15" customHeight="1" x14ac:dyDescent="0.25">
      <c r="E601" s="58" t="s">
        <v>1209</v>
      </c>
      <c r="F601" s="65" t="s">
        <v>1210</v>
      </c>
    </row>
    <row r="602" spans="5:6" customFormat="1" ht="13.15" customHeight="1" x14ac:dyDescent="0.25">
      <c r="E602" s="58" t="s">
        <v>1211</v>
      </c>
      <c r="F602" s="65" t="s">
        <v>1212</v>
      </c>
    </row>
    <row r="603" spans="5:6" customFormat="1" ht="13.15" customHeight="1" x14ac:dyDescent="0.25">
      <c r="E603" s="58" t="s">
        <v>1213</v>
      </c>
      <c r="F603" s="65" t="s">
        <v>1214</v>
      </c>
    </row>
    <row r="604" spans="5:6" customFormat="1" ht="13.15" customHeight="1" x14ac:dyDescent="0.25">
      <c r="E604" s="58" t="s">
        <v>1215</v>
      </c>
      <c r="F604" s="65" t="s">
        <v>1216</v>
      </c>
    </row>
    <row r="605" spans="5:6" customFormat="1" ht="13.15" customHeight="1" x14ac:dyDescent="0.25">
      <c r="E605" s="58" t="s">
        <v>1217</v>
      </c>
      <c r="F605" s="65" t="s">
        <v>1218</v>
      </c>
    </row>
    <row r="606" spans="5:6" customFormat="1" ht="13.15" customHeight="1" x14ac:dyDescent="0.25">
      <c r="E606" s="58" t="s">
        <v>1219</v>
      </c>
      <c r="F606" s="65" t="s">
        <v>1220</v>
      </c>
    </row>
    <row r="607" spans="5:6" customFormat="1" ht="13.15" customHeight="1" x14ac:dyDescent="0.25">
      <c r="E607" s="58" t="s">
        <v>18</v>
      </c>
      <c r="F607" s="65" t="s">
        <v>1221</v>
      </c>
    </row>
    <row r="608" spans="5:6" customFormat="1" ht="13.15" customHeight="1" x14ac:dyDescent="0.25">
      <c r="E608" s="58" t="s">
        <v>1222</v>
      </c>
      <c r="F608" s="65" t="s">
        <v>1223</v>
      </c>
    </row>
    <row r="609" spans="5:6" customFormat="1" ht="13.15" customHeight="1" x14ac:dyDescent="0.25">
      <c r="E609" s="58" t="s">
        <v>1224</v>
      </c>
      <c r="F609" s="65" t="s">
        <v>1225</v>
      </c>
    </row>
    <row r="610" spans="5:6" customFormat="1" ht="13.15" customHeight="1" x14ac:dyDescent="0.25">
      <c r="E610" s="58" t="s">
        <v>1226</v>
      </c>
      <c r="F610" s="65" t="s">
        <v>1227</v>
      </c>
    </row>
    <row r="611" spans="5:6" customFormat="1" ht="13.15" customHeight="1" x14ac:dyDescent="0.25">
      <c r="E611" s="58" t="s">
        <v>1228</v>
      </c>
      <c r="F611" s="65" t="s">
        <v>1229</v>
      </c>
    </row>
    <row r="612" spans="5:6" customFormat="1" ht="13.15" customHeight="1" x14ac:dyDescent="0.25">
      <c r="E612" s="58" t="s">
        <v>1230</v>
      </c>
      <c r="F612" s="65" t="s">
        <v>1231</v>
      </c>
    </row>
    <row r="613" spans="5:6" customFormat="1" ht="13.15" customHeight="1" x14ac:dyDescent="0.25">
      <c r="E613" s="58" t="s">
        <v>1232</v>
      </c>
      <c r="F613" s="65" t="s">
        <v>1233</v>
      </c>
    </row>
    <row r="614" spans="5:6" customFormat="1" ht="13.15" customHeight="1" x14ac:dyDescent="0.25">
      <c r="E614" s="58" t="s">
        <v>1234</v>
      </c>
      <c r="F614" s="65" t="s">
        <v>1235</v>
      </c>
    </row>
    <row r="615" spans="5:6" customFormat="1" ht="13.15" customHeight="1" x14ac:dyDescent="0.25">
      <c r="E615" s="58" t="s">
        <v>1236</v>
      </c>
      <c r="F615" s="65" t="s">
        <v>1237</v>
      </c>
    </row>
    <row r="616" spans="5:6" customFormat="1" ht="13.15" customHeight="1" x14ac:dyDescent="0.25">
      <c r="E616" s="58" t="s">
        <v>1238</v>
      </c>
      <c r="F616" s="65" t="s">
        <v>1239</v>
      </c>
    </row>
    <row r="617" spans="5:6" customFormat="1" ht="13.15" customHeight="1" x14ac:dyDescent="0.25">
      <c r="E617" s="58" t="s">
        <v>1240</v>
      </c>
      <c r="F617" s="65" t="s">
        <v>1241</v>
      </c>
    </row>
    <row r="618" spans="5:6" customFormat="1" ht="13.15" customHeight="1" x14ac:dyDescent="0.25">
      <c r="E618" s="58" t="s">
        <v>1242</v>
      </c>
      <c r="F618" s="65" t="s">
        <v>1243</v>
      </c>
    </row>
    <row r="619" spans="5:6" customFormat="1" ht="13.15" customHeight="1" x14ac:dyDescent="0.25">
      <c r="E619" s="58" t="s">
        <v>1244</v>
      </c>
      <c r="F619" s="65" t="s">
        <v>1245</v>
      </c>
    </row>
    <row r="620" spans="5:6" customFormat="1" ht="13.15" customHeight="1" x14ac:dyDescent="0.25">
      <c r="E620" s="58" t="s">
        <v>1246</v>
      </c>
      <c r="F620" s="65" t="s">
        <v>1247</v>
      </c>
    </row>
    <row r="621" spans="5:6" customFormat="1" ht="13.15" customHeight="1" x14ac:dyDescent="0.25">
      <c r="E621" s="58" t="s">
        <v>1248</v>
      </c>
      <c r="F621" s="65" t="s">
        <v>1249</v>
      </c>
    </row>
    <row r="622" spans="5:6" customFormat="1" ht="13.15" customHeight="1" x14ac:dyDescent="0.25">
      <c r="E622" s="58" t="s">
        <v>1250</v>
      </c>
      <c r="F622" s="65" t="s">
        <v>1251</v>
      </c>
    </row>
    <row r="623" spans="5:6" customFormat="1" ht="13.15" customHeight="1" x14ac:dyDescent="0.25">
      <c r="E623" s="58" t="s">
        <v>1252</v>
      </c>
      <c r="F623" s="65" t="s">
        <v>1253</v>
      </c>
    </row>
    <row r="624" spans="5:6" customFormat="1" ht="13.15" customHeight="1" x14ac:dyDescent="0.25">
      <c r="E624" s="58" t="s">
        <v>1254</v>
      </c>
      <c r="F624" s="65" t="s">
        <v>1255</v>
      </c>
    </row>
    <row r="625" spans="5:6" customFormat="1" ht="13.15" customHeight="1" x14ac:dyDescent="0.25">
      <c r="E625" s="58" t="s">
        <v>1256</v>
      </c>
      <c r="F625" s="65" t="s">
        <v>1257</v>
      </c>
    </row>
    <row r="626" spans="5:6" customFormat="1" ht="13.15" customHeight="1" x14ac:dyDescent="0.25">
      <c r="E626" s="58" t="s">
        <v>1258</v>
      </c>
      <c r="F626" s="65" t="s">
        <v>1259</v>
      </c>
    </row>
    <row r="627" spans="5:6" customFormat="1" ht="13.15" customHeight="1" x14ac:dyDescent="0.25">
      <c r="E627" s="58" t="s">
        <v>1260</v>
      </c>
      <c r="F627" s="65" t="s">
        <v>1261</v>
      </c>
    </row>
    <row r="628" spans="5:6" customFormat="1" ht="13.15" customHeight="1" x14ac:dyDescent="0.25">
      <c r="E628" s="65" t="s">
        <v>1262</v>
      </c>
      <c r="F628" s="65" t="s">
        <v>1263</v>
      </c>
    </row>
    <row r="629" spans="5:6" customFormat="1" ht="13.15" customHeight="1" x14ac:dyDescent="0.25">
      <c r="E629" s="65" t="s">
        <v>1264</v>
      </c>
      <c r="F629" s="65">
        <v>1200598</v>
      </c>
    </row>
    <row r="630" spans="5:6" customFormat="1" ht="13.15" customHeight="1" x14ac:dyDescent="0.25">
      <c r="E630" s="65" t="s">
        <v>1265</v>
      </c>
      <c r="F630" s="65">
        <v>1200599</v>
      </c>
    </row>
    <row r="631" spans="5:6" customFormat="1" ht="13.15" customHeight="1" x14ac:dyDescent="0.25">
      <c r="E631" s="65" t="s">
        <v>1266</v>
      </c>
      <c r="F631" s="65">
        <v>1200600</v>
      </c>
    </row>
    <row r="632" spans="5:6" customFormat="1" ht="13.15" customHeight="1" x14ac:dyDescent="0.25">
      <c r="E632" s="65" t="s">
        <v>1267</v>
      </c>
      <c r="F632" s="65">
        <v>1200594</v>
      </c>
    </row>
    <row r="633" spans="5:6" customFormat="1" ht="13.15" customHeight="1" x14ac:dyDescent="0.25">
      <c r="E633" s="65" t="s">
        <v>1268</v>
      </c>
      <c r="F633" s="65">
        <v>1200594</v>
      </c>
    </row>
    <row r="634" spans="5:6" customFormat="1" ht="13.15" customHeight="1" x14ac:dyDescent="0.25">
      <c r="E634" s="65" t="s">
        <v>1269</v>
      </c>
      <c r="F634" s="65">
        <v>1200106</v>
      </c>
    </row>
    <row r="635" spans="5:6" customFormat="1" ht="13.15" customHeight="1" x14ac:dyDescent="0.25">
      <c r="E635" s="65" t="s">
        <v>594</v>
      </c>
      <c r="F635" s="65">
        <v>1200245</v>
      </c>
    </row>
    <row r="636" spans="5:6" customFormat="1" ht="13.15" customHeight="1" x14ac:dyDescent="0.25">
      <c r="E636" s="65" t="s">
        <v>1270</v>
      </c>
      <c r="F636" s="65">
        <v>1200589</v>
      </c>
    </row>
    <row r="637" spans="5:6" customFormat="1" ht="13.15" customHeight="1" x14ac:dyDescent="0.25">
      <c r="E637" s="65" t="s">
        <v>1271</v>
      </c>
      <c r="F637" s="65">
        <v>1100044</v>
      </c>
    </row>
    <row r="638" spans="5:6" customFormat="1" ht="13.15" customHeight="1" x14ac:dyDescent="0.25">
      <c r="E638" s="65" t="s">
        <v>1272</v>
      </c>
      <c r="F638" s="65">
        <v>1100043</v>
      </c>
    </row>
    <row r="639" spans="5:6" customFormat="1" ht="13.15" customHeight="1" x14ac:dyDescent="0.25">
      <c r="E639" s="65" t="s">
        <v>1273</v>
      </c>
      <c r="F639" s="65">
        <v>1100046</v>
      </c>
    </row>
    <row r="640" spans="5:6" customFormat="1" ht="13.15" customHeight="1" x14ac:dyDescent="0.25">
      <c r="E640" s="65" t="s">
        <v>1274</v>
      </c>
      <c r="F640" s="65">
        <v>1100045</v>
      </c>
    </row>
    <row r="641" spans="5:6" customFormat="1" ht="13.15" customHeight="1" x14ac:dyDescent="0.25">
      <c r="E641" s="65" t="s">
        <v>1275</v>
      </c>
      <c r="F641" s="65">
        <v>1200650</v>
      </c>
    </row>
    <row r="642" spans="5:6" customFormat="1" ht="13.15" customHeight="1" x14ac:dyDescent="0.25">
      <c r="E642" s="63" t="s">
        <v>1276</v>
      </c>
      <c r="F642" s="62">
        <v>1200651</v>
      </c>
    </row>
    <row r="643" spans="5:6" customFormat="1" ht="13.15" customHeight="1" x14ac:dyDescent="0.25">
      <c r="E643" s="58"/>
      <c r="F643" s="65"/>
    </row>
    <row r="644" spans="5:6" customFormat="1" ht="13.15" customHeight="1" x14ac:dyDescent="0.25">
      <c r="E644" s="58"/>
      <c r="F644" s="65"/>
    </row>
    <row r="645" spans="5:6" customFormat="1" ht="13.15" customHeight="1" x14ac:dyDescent="0.25">
      <c r="E645" s="58"/>
      <c r="F645" s="65"/>
    </row>
    <row r="646" spans="5:6" customFormat="1" ht="13.15" customHeight="1" x14ac:dyDescent="0.25">
      <c r="E646" s="58"/>
      <c r="F646" s="65"/>
    </row>
    <row r="647" spans="5:6" customFormat="1" ht="13.15" customHeight="1" x14ac:dyDescent="0.25">
      <c r="E647" s="58"/>
      <c r="F647" s="65"/>
    </row>
    <row r="648" spans="5:6" customFormat="1" ht="13.15" customHeight="1" x14ac:dyDescent="0.25">
      <c r="E648" s="58"/>
      <c r="F648" s="65"/>
    </row>
    <row r="649" spans="5:6" customFormat="1" ht="13.15" customHeight="1" x14ac:dyDescent="0.25">
      <c r="E649" s="58"/>
      <c r="F649" s="65"/>
    </row>
    <row r="650" spans="5:6" customFormat="1" ht="13.15" customHeight="1" x14ac:dyDescent="0.25">
      <c r="E650" s="58"/>
      <c r="F650" s="65"/>
    </row>
    <row r="651" spans="5:6" customFormat="1" ht="13.15" customHeight="1" x14ac:dyDescent="0.25">
      <c r="E651" s="58"/>
      <c r="F651" s="65"/>
    </row>
    <row r="652" spans="5:6" customFormat="1" ht="13.15" customHeight="1" x14ac:dyDescent="0.25">
      <c r="E652" s="58"/>
      <c r="F652" s="65"/>
    </row>
    <row r="653" spans="5:6" customFormat="1" ht="13.15" customHeight="1" x14ac:dyDescent="0.25">
      <c r="E653" s="58"/>
      <c r="F653" s="65"/>
    </row>
    <row r="654" spans="5:6" customFormat="1" ht="13.15" customHeight="1" x14ac:dyDescent="0.25">
      <c r="E654" s="58"/>
      <c r="F654" s="65"/>
    </row>
    <row r="655" spans="5:6" customFormat="1" ht="13.15" customHeight="1" x14ac:dyDescent="0.25">
      <c r="E655" s="58"/>
      <c r="F655" s="65"/>
    </row>
    <row r="656" spans="5:6" customFormat="1" ht="13.15" customHeight="1" x14ac:dyDescent="0.25">
      <c r="E656" s="58"/>
      <c r="F656" s="65"/>
    </row>
    <row r="657" spans="5:6" customFormat="1" ht="13.15" customHeight="1" x14ac:dyDescent="0.25">
      <c r="E657" s="58"/>
      <c r="F657" s="65"/>
    </row>
    <row r="658" spans="5:6" customFormat="1" ht="13.15" customHeight="1" x14ac:dyDescent="0.25">
      <c r="E658" s="58"/>
      <c r="F658" s="65"/>
    </row>
    <row r="659" spans="5:6" customFormat="1" ht="13.15" customHeight="1" x14ac:dyDescent="0.25">
      <c r="E659" s="58"/>
      <c r="F659" s="65"/>
    </row>
    <row r="660" spans="5:6" customFormat="1" ht="13.15" customHeight="1" x14ac:dyDescent="0.25">
      <c r="E660" s="58"/>
      <c r="F660" s="65"/>
    </row>
    <row r="661" spans="5:6" customFormat="1" ht="13.15" customHeight="1" x14ac:dyDescent="0.25">
      <c r="E661" s="58"/>
      <c r="F661" s="65"/>
    </row>
    <row r="662" spans="5:6" customFormat="1" ht="13.15" customHeight="1" x14ac:dyDescent="0.25">
      <c r="E662" s="58"/>
      <c r="F662" s="65"/>
    </row>
    <row r="663" spans="5:6" customFormat="1" ht="13.15" customHeight="1" x14ac:dyDescent="0.25">
      <c r="E663" s="58"/>
      <c r="F663" s="65"/>
    </row>
    <row r="664" spans="5:6" customFormat="1" ht="13.15" customHeight="1" x14ac:dyDescent="0.25">
      <c r="E664" s="58"/>
      <c r="F664" s="65"/>
    </row>
    <row r="665" spans="5:6" customFormat="1" ht="13.15" customHeight="1" x14ac:dyDescent="0.25">
      <c r="E665" s="58"/>
      <c r="F665" s="65"/>
    </row>
    <row r="666" spans="5:6" customFormat="1" ht="13.15" customHeight="1" x14ac:dyDescent="0.25">
      <c r="E666" s="58"/>
      <c r="F666" s="65"/>
    </row>
    <row r="667" spans="5:6" customFormat="1" ht="13.15" customHeight="1" x14ac:dyDescent="0.25">
      <c r="E667" s="58"/>
      <c r="F667" s="65"/>
    </row>
    <row r="668" spans="5:6" customFormat="1" ht="13.15" customHeight="1" x14ac:dyDescent="0.25">
      <c r="E668" s="58"/>
      <c r="F668" s="65"/>
    </row>
    <row r="669" spans="5:6" customFormat="1" ht="13.15" customHeight="1" x14ac:dyDescent="0.25">
      <c r="E669" s="58"/>
      <c r="F669" s="65"/>
    </row>
    <row r="670" spans="5:6" customFormat="1" ht="13.15" customHeight="1" x14ac:dyDescent="0.25">
      <c r="E670" s="58"/>
      <c r="F670" s="65"/>
    </row>
    <row r="671" spans="5:6" customFormat="1" ht="13.15" customHeight="1" x14ac:dyDescent="0.25">
      <c r="E671" s="58"/>
      <c r="F671" s="65"/>
    </row>
    <row r="672" spans="5:6" customFormat="1" ht="13.15" customHeight="1" x14ac:dyDescent="0.25">
      <c r="E672" s="58"/>
      <c r="F672" s="65"/>
    </row>
    <row r="673" spans="5:6" customFormat="1" ht="13.15" customHeight="1" x14ac:dyDescent="0.25">
      <c r="E673" s="58"/>
      <c r="F673" s="65"/>
    </row>
    <row r="674" spans="5:6" customFormat="1" ht="13.15" customHeight="1" x14ac:dyDescent="0.25">
      <c r="E674" s="58"/>
      <c r="F674" s="65"/>
    </row>
    <row r="675" spans="5:6" customFormat="1" ht="13.15" customHeight="1" x14ac:dyDescent="0.25">
      <c r="E675" s="58"/>
      <c r="F675" s="65"/>
    </row>
    <row r="676" spans="5:6" hidden="1" x14ac:dyDescent="0.25">
      <c r="E676" s="58" t="s">
        <v>793</v>
      </c>
      <c r="F676" s="65" t="s">
        <v>794</v>
      </c>
    </row>
    <row r="677" spans="5:6" hidden="1" x14ac:dyDescent="0.25">
      <c r="E677" s="58" t="s">
        <v>795</v>
      </c>
      <c r="F677" s="65" t="s">
        <v>796</v>
      </c>
    </row>
    <row r="678" spans="5:6" hidden="1" x14ac:dyDescent="0.25">
      <c r="E678" s="58" t="s">
        <v>797</v>
      </c>
      <c r="F678" s="65" t="s">
        <v>798</v>
      </c>
    </row>
    <row r="679" spans="5:6" hidden="1" x14ac:dyDescent="0.25">
      <c r="E679" s="58" t="s">
        <v>799</v>
      </c>
      <c r="F679" s="65" t="s">
        <v>800</v>
      </c>
    </row>
    <row r="680" spans="5:6" hidden="1" x14ac:dyDescent="0.25">
      <c r="E680" s="58" t="s">
        <v>801</v>
      </c>
      <c r="F680" s="65" t="s">
        <v>802</v>
      </c>
    </row>
    <row r="681" spans="5:6" hidden="1" x14ac:dyDescent="0.25">
      <c r="E681" s="58" t="s">
        <v>803</v>
      </c>
      <c r="F681" s="65" t="s">
        <v>804</v>
      </c>
    </row>
    <row r="682" spans="5:6" hidden="1" x14ac:dyDescent="0.25">
      <c r="E682" s="58" t="s">
        <v>805</v>
      </c>
      <c r="F682" s="65" t="s">
        <v>806</v>
      </c>
    </row>
    <row r="683" spans="5:6" hidden="1" x14ac:dyDescent="0.25">
      <c r="E683" s="58" t="s">
        <v>807</v>
      </c>
      <c r="F683" s="65" t="s">
        <v>808</v>
      </c>
    </row>
    <row r="684" spans="5:6" hidden="1" x14ac:dyDescent="0.25">
      <c r="E684" s="58" t="s">
        <v>809</v>
      </c>
      <c r="F684" s="65" t="s">
        <v>810</v>
      </c>
    </row>
    <row r="685" spans="5:6" hidden="1" x14ac:dyDescent="0.25">
      <c r="E685" s="58" t="s">
        <v>811</v>
      </c>
      <c r="F685" s="65" t="s">
        <v>812</v>
      </c>
    </row>
    <row r="686" spans="5:6" hidden="1" x14ac:dyDescent="0.25">
      <c r="E686" s="58" t="s">
        <v>813</v>
      </c>
      <c r="F686" s="65" t="s">
        <v>814</v>
      </c>
    </row>
    <row r="687" spans="5:6" hidden="1" x14ac:dyDescent="0.25">
      <c r="E687" s="58" t="s">
        <v>815</v>
      </c>
      <c r="F687" s="65" t="s">
        <v>816</v>
      </c>
    </row>
    <row r="688" spans="5:6" hidden="1" x14ac:dyDescent="0.25">
      <c r="E688" s="58" t="s">
        <v>817</v>
      </c>
      <c r="F688" s="65" t="s">
        <v>818</v>
      </c>
    </row>
    <row r="689" spans="5:6" hidden="1" x14ac:dyDescent="0.25">
      <c r="E689" s="58" t="s">
        <v>819</v>
      </c>
      <c r="F689" s="65" t="s">
        <v>820</v>
      </c>
    </row>
    <row r="690" spans="5:6" hidden="1" x14ac:dyDescent="0.25">
      <c r="E690" s="58" t="s">
        <v>821</v>
      </c>
      <c r="F690" s="65" t="s">
        <v>822</v>
      </c>
    </row>
    <row r="691" spans="5:6" hidden="1" x14ac:dyDescent="0.25">
      <c r="E691" s="58" t="s">
        <v>823</v>
      </c>
      <c r="F691" s="65" t="s">
        <v>824</v>
      </c>
    </row>
    <row r="692" spans="5:6" hidden="1" x14ac:dyDescent="0.25">
      <c r="E692" s="58" t="s">
        <v>825</v>
      </c>
      <c r="F692" s="65" t="s">
        <v>826</v>
      </c>
    </row>
    <row r="693" spans="5:6" hidden="1" x14ac:dyDescent="0.25">
      <c r="E693" s="58" t="s">
        <v>827</v>
      </c>
      <c r="F693" s="65" t="s">
        <v>828</v>
      </c>
    </row>
    <row r="694" spans="5:6" hidden="1" x14ac:dyDescent="0.25">
      <c r="E694" s="58" t="s">
        <v>829</v>
      </c>
      <c r="F694" s="65" t="s">
        <v>830</v>
      </c>
    </row>
    <row r="695" spans="5:6" hidden="1" x14ac:dyDescent="0.25">
      <c r="E695" s="58" t="s">
        <v>831</v>
      </c>
      <c r="F695" s="65" t="s">
        <v>832</v>
      </c>
    </row>
    <row r="696" spans="5:6" hidden="1" x14ac:dyDescent="0.25">
      <c r="E696" s="58" t="s">
        <v>833</v>
      </c>
      <c r="F696" s="65" t="s">
        <v>834</v>
      </c>
    </row>
    <row r="697" spans="5:6" hidden="1" x14ac:dyDescent="0.25">
      <c r="E697" s="58" t="s">
        <v>554</v>
      </c>
      <c r="F697" s="65" t="s">
        <v>835</v>
      </c>
    </row>
    <row r="698" spans="5:6" hidden="1" x14ac:dyDescent="0.25">
      <c r="E698" s="58" t="s">
        <v>836</v>
      </c>
      <c r="F698" s="65" t="s">
        <v>837</v>
      </c>
    </row>
    <row r="699" spans="5:6" hidden="1" x14ac:dyDescent="0.25">
      <c r="E699" s="58" t="s">
        <v>838</v>
      </c>
      <c r="F699" s="65" t="s">
        <v>839</v>
      </c>
    </row>
    <row r="700" spans="5:6" hidden="1" x14ac:dyDescent="0.25">
      <c r="E700" s="58" t="s">
        <v>840</v>
      </c>
      <c r="F700" s="65" t="s">
        <v>841</v>
      </c>
    </row>
    <row r="701" spans="5:6" hidden="1" x14ac:dyDescent="0.25">
      <c r="E701" s="58" t="s">
        <v>842</v>
      </c>
      <c r="F701" s="65" t="s">
        <v>843</v>
      </c>
    </row>
    <row r="702" spans="5:6" hidden="1" x14ac:dyDescent="0.25">
      <c r="E702" s="58" t="s">
        <v>844</v>
      </c>
      <c r="F702" s="65" t="s">
        <v>845</v>
      </c>
    </row>
    <row r="703" spans="5:6" hidden="1" x14ac:dyDescent="0.25">
      <c r="E703" s="58" t="s">
        <v>846</v>
      </c>
      <c r="F703" s="65" t="s">
        <v>847</v>
      </c>
    </row>
    <row r="704" spans="5:6" hidden="1" x14ac:dyDescent="0.25">
      <c r="E704" s="58" t="s">
        <v>848</v>
      </c>
      <c r="F704" s="65" t="s">
        <v>849</v>
      </c>
    </row>
    <row r="705" spans="5:6" hidden="1" x14ac:dyDescent="0.25">
      <c r="E705" s="58" t="s">
        <v>850</v>
      </c>
      <c r="F705" s="65" t="s">
        <v>851</v>
      </c>
    </row>
    <row r="706" spans="5:6" hidden="1" x14ac:dyDescent="0.25">
      <c r="E706" s="58" t="s">
        <v>852</v>
      </c>
      <c r="F706" s="65" t="s">
        <v>853</v>
      </c>
    </row>
    <row r="707" spans="5:6" hidden="1" x14ac:dyDescent="0.25">
      <c r="E707" s="58" t="s">
        <v>854</v>
      </c>
      <c r="F707" s="65" t="s">
        <v>855</v>
      </c>
    </row>
    <row r="708" spans="5:6" hidden="1" x14ac:dyDescent="0.25">
      <c r="E708" s="58" t="s">
        <v>856</v>
      </c>
      <c r="F708" s="65" t="s">
        <v>857</v>
      </c>
    </row>
    <row r="709" spans="5:6" hidden="1" x14ac:dyDescent="0.25">
      <c r="E709" s="58" t="s">
        <v>858</v>
      </c>
      <c r="F709" s="65" t="s">
        <v>859</v>
      </c>
    </row>
    <row r="710" spans="5:6" hidden="1" x14ac:dyDescent="0.25">
      <c r="E710" s="58" t="s">
        <v>860</v>
      </c>
      <c r="F710" s="65" t="s">
        <v>861</v>
      </c>
    </row>
    <row r="711" spans="5:6" hidden="1" x14ac:dyDescent="0.25">
      <c r="E711" s="58" t="s">
        <v>862</v>
      </c>
      <c r="F711" s="65" t="s">
        <v>863</v>
      </c>
    </row>
    <row r="712" spans="5:6" hidden="1" x14ac:dyDescent="0.25">
      <c r="E712" s="58" t="s">
        <v>864</v>
      </c>
      <c r="F712" s="65" t="s">
        <v>865</v>
      </c>
    </row>
    <row r="713" spans="5:6" hidden="1" x14ac:dyDescent="0.25">
      <c r="E713" s="58" t="s">
        <v>866</v>
      </c>
      <c r="F713" s="65" t="s">
        <v>867</v>
      </c>
    </row>
    <row r="714" spans="5:6" hidden="1" x14ac:dyDescent="0.25">
      <c r="E714" s="58" t="s">
        <v>868</v>
      </c>
      <c r="F714" s="65" t="s">
        <v>869</v>
      </c>
    </row>
    <row r="715" spans="5:6" hidden="1" x14ac:dyDescent="0.25">
      <c r="E715" s="58" t="s">
        <v>870</v>
      </c>
      <c r="F715" s="65" t="s">
        <v>871</v>
      </c>
    </row>
    <row r="716" spans="5:6" hidden="1" x14ac:dyDescent="0.25">
      <c r="E716" s="58" t="s">
        <v>870</v>
      </c>
      <c r="F716" s="65" t="s">
        <v>872</v>
      </c>
    </row>
    <row r="717" spans="5:6" hidden="1" x14ac:dyDescent="0.25">
      <c r="E717" s="58" t="s">
        <v>873</v>
      </c>
      <c r="F717" s="65" t="s">
        <v>874</v>
      </c>
    </row>
    <row r="718" spans="5:6" hidden="1" x14ac:dyDescent="0.25">
      <c r="E718" s="58" t="s">
        <v>359</v>
      </c>
      <c r="F718" s="65" t="s">
        <v>875</v>
      </c>
    </row>
    <row r="719" spans="5:6" hidden="1" x14ac:dyDescent="0.25">
      <c r="E719" s="58" t="s">
        <v>498</v>
      </c>
      <c r="F719" s="65" t="s">
        <v>876</v>
      </c>
    </row>
    <row r="720" spans="5:6" hidden="1" x14ac:dyDescent="0.25">
      <c r="E720" s="58" t="s">
        <v>877</v>
      </c>
      <c r="F720" s="65" t="s">
        <v>878</v>
      </c>
    </row>
    <row r="721" spans="5:6" hidden="1" x14ac:dyDescent="0.25">
      <c r="E721" s="58" t="s">
        <v>879</v>
      </c>
      <c r="F721" s="65" t="s">
        <v>880</v>
      </c>
    </row>
    <row r="722" spans="5:6" ht="21" hidden="1" x14ac:dyDescent="0.25">
      <c r="E722" s="58" t="s">
        <v>881</v>
      </c>
      <c r="F722" s="65" t="s">
        <v>882</v>
      </c>
    </row>
    <row r="723" spans="5:6" hidden="1" x14ac:dyDescent="0.25">
      <c r="E723" s="58" t="s">
        <v>883</v>
      </c>
      <c r="F723" s="65" t="s">
        <v>884</v>
      </c>
    </row>
    <row r="724" spans="5:6" hidden="1" x14ac:dyDescent="0.25">
      <c r="E724" s="58" t="s">
        <v>885</v>
      </c>
      <c r="F724" s="65" t="s">
        <v>886</v>
      </c>
    </row>
    <row r="725" spans="5:6" hidden="1" x14ac:dyDescent="0.25">
      <c r="E725" s="58" t="s">
        <v>887</v>
      </c>
      <c r="F725" s="65" t="s">
        <v>888</v>
      </c>
    </row>
    <row r="726" spans="5:6" hidden="1" x14ac:dyDescent="0.25">
      <c r="E726" s="58" t="s">
        <v>889</v>
      </c>
      <c r="F726" s="65" t="s">
        <v>890</v>
      </c>
    </row>
    <row r="727" spans="5:6" hidden="1" x14ac:dyDescent="0.25">
      <c r="E727" s="58" t="s">
        <v>891</v>
      </c>
      <c r="F727" s="65" t="s">
        <v>892</v>
      </c>
    </row>
    <row r="728" spans="5:6" hidden="1" x14ac:dyDescent="0.25">
      <c r="E728" s="58" t="s">
        <v>11</v>
      </c>
      <c r="F728" s="65" t="s">
        <v>893</v>
      </c>
    </row>
    <row r="729" spans="5:6" hidden="1" x14ac:dyDescent="0.25">
      <c r="E729" s="58" t="s">
        <v>894</v>
      </c>
      <c r="F729" s="65" t="s">
        <v>895</v>
      </c>
    </row>
    <row r="730" spans="5:6" hidden="1" x14ac:dyDescent="0.25">
      <c r="E730" s="58" t="s">
        <v>896</v>
      </c>
      <c r="F730" s="65" t="s">
        <v>897</v>
      </c>
    </row>
    <row r="731" spans="5:6" hidden="1" x14ac:dyDescent="0.25">
      <c r="E731" s="58" t="s">
        <v>898</v>
      </c>
      <c r="F731" s="65" t="s">
        <v>899</v>
      </c>
    </row>
    <row r="732" spans="5:6" hidden="1" x14ac:dyDescent="0.25">
      <c r="E732" s="58" t="s">
        <v>900</v>
      </c>
      <c r="F732" s="65" t="s">
        <v>901</v>
      </c>
    </row>
    <row r="733" spans="5:6" hidden="1" x14ac:dyDescent="0.25">
      <c r="E733" s="58" t="s">
        <v>902</v>
      </c>
      <c r="F733" s="65" t="s">
        <v>903</v>
      </c>
    </row>
    <row r="734" spans="5:6" hidden="1" x14ac:dyDescent="0.25">
      <c r="E734" s="58" t="s">
        <v>904</v>
      </c>
      <c r="F734" s="65" t="s">
        <v>905</v>
      </c>
    </row>
    <row r="735" spans="5:6" hidden="1" x14ac:dyDescent="0.25">
      <c r="E735" s="58" t="s">
        <v>906</v>
      </c>
      <c r="F735" s="65" t="s">
        <v>907</v>
      </c>
    </row>
    <row r="736" spans="5:6" hidden="1" x14ac:dyDescent="0.25">
      <c r="E736" s="58" t="s">
        <v>908</v>
      </c>
      <c r="F736" s="65" t="s">
        <v>909</v>
      </c>
    </row>
    <row r="737" spans="5:6" hidden="1" x14ac:dyDescent="0.25">
      <c r="E737" s="58" t="s">
        <v>910</v>
      </c>
      <c r="F737" s="65" t="s">
        <v>911</v>
      </c>
    </row>
    <row r="738" spans="5:6" hidden="1" x14ac:dyDescent="0.25">
      <c r="E738" s="58" t="s">
        <v>912</v>
      </c>
      <c r="F738" s="65" t="s">
        <v>913</v>
      </c>
    </row>
    <row r="739" spans="5:6" hidden="1" x14ac:dyDescent="0.25">
      <c r="E739" s="58" t="s">
        <v>914</v>
      </c>
      <c r="F739" s="65" t="s">
        <v>915</v>
      </c>
    </row>
    <row r="740" spans="5:6" hidden="1" x14ac:dyDescent="0.25">
      <c r="E740" s="58" t="s">
        <v>916</v>
      </c>
      <c r="F740" s="65" t="s">
        <v>917</v>
      </c>
    </row>
    <row r="741" spans="5:6" hidden="1" x14ac:dyDescent="0.25">
      <c r="E741" s="58" t="s">
        <v>918</v>
      </c>
      <c r="F741" s="65" t="s">
        <v>919</v>
      </c>
    </row>
    <row r="742" spans="5:6" hidden="1" x14ac:dyDescent="0.25">
      <c r="E742" s="58" t="s">
        <v>920</v>
      </c>
      <c r="F742" s="65" t="s">
        <v>921</v>
      </c>
    </row>
    <row r="743" spans="5:6" hidden="1" x14ac:dyDescent="0.25">
      <c r="E743" s="58" t="s">
        <v>922</v>
      </c>
      <c r="F743" s="65" t="s">
        <v>923</v>
      </c>
    </row>
    <row r="744" spans="5:6" hidden="1" x14ac:dyDescent="0.25">
      <c r="E744" s="58" t="s">
        <v>924</v>
      </c>
      <c r="F744" s="65" t="s">
        <v>925</v>
      </c>
    </row>
    <row r="745" spans="5:6" hidden="1" x14ac:dyDescent="0.25">
      <c r="E745" s="58" t="s">
        <v>926</v>
      </c>
      <c r="F745" s="65" t="s">
        <v>927</v>
      </c>
    </row>
    <row r="746" spans="5:6" hidden="1" x14ac:dyDescent="0.25">
      <c r="E746" s="58" t="s">
        <v>928</v>
      </c>
      <c r="F746" s="65" t="s">
        <v>929</v>
      </c>
    </row>
    <row r="747" spans="5:6" ht="21" hidden="1" x14ac:dyDescent="0.25">
      <c r="E747" s="58" t="s">
        <v>930</v>
      </c>
      <c r="F747" s="65" t="s">
        <v>931</v>
      </c>
    </row>
    <row r="748" spans="5:6" hidden="1" x14ac:dyDescent="0.25">
      <c r="E748" s="58" t="s">
        <v>932</v>
      </c>
      <c r="F748" s="65" t="s">
        <v>933</v>
      </c>
    </row>
    <row r="749" spans="5:6" hidden="1" x14ac:dyDescent="0.25">
      <c r="E749" s="58" t="s">
        <v>934</v>
      </c>
      <c r="F749" s="65" t="s">
        <v>935</v>
      </c>
    </row>
    <row r="750" spans="5:6" hidden="1" x14ac:dyDescent="0.25">
      <c r="E750" s="58" t="s">
        <v>936</v>
      </c>
      <c r="F750" s="65" t="s">
        <v>937</v>
      </c>
    </row>
    <row r="751" spans="5:6" hidden="1" x14ac:dyDescent="0.25">
      <c r="E751" s="58" t="s">
        <v>938</v>
      </c>
      <c r="F751" s="65" t="s">
        <v>939</v>
      </c>
    </row>
    <row r="752" spans="5:6" hidden="1" x14ac:dyDescent="0.25">
      <c r="E752" s="58" t="s">
        <v>940</v>
      </c>
      <c r="F752" s="65" t="s">
        <v>941</v>
      </c>
    </row>
    <row r="753" spans="5:6" hidden="1" x14ac:dyDescent="0.25">
      <c r="E753" s="58" t="s">
        <v>942</v>
      </c>
      <c r="F753" s="65" t="s">
        <v>943</v>
      </c>
    </row>
    <row r="754" spans="5:6" hidden="1" x14ac:dyDescent="0.25">
      <c r="E754" s="58" t="s">
        <v>944</v>
      </c>
      <c r="F754" s="65" t="s">
        <v>945</v>
      </c>
    </row>
    <row r="755" spans="5:6" hidden="1" x14ac:dyDescent="0.25">
      <c r="E755" s="58" t="s">
        <v>946</v>
      </c>
      <c r="F755" s="65" t="s">
        <v>947</v>
      </c>
    </row>
    <row r="756" spans="5:6" hidden="1" x14ac:dyDescent="0.25">
      <c r="E756" s="58" t="s">
        <v>948</v>
      </c>
      <c r="F756" s="65" t="s">
        <v>949</v>
      </c>
    </row>
    <row r="757" spans="5:6" hidden="1" x14ac:dyDescent="0.25">
      <c r="E757" s="58" t="s">
        <v>950</v>
      </c>
      <c r="F757" s="65" t="s">
        <v>951</v>
      </c>
    </row>
    <row r="758" spans="5:6" hidden="1" x14ac:dyDescent="0.25">
      <c r="E758" s="58" t="s">
        <v>952</v>
      </c>
      <c r="F758" s="65" t="s">
        <v>953</v>
      </c>
    </row>
    <row r="759" spans="5:6" hidden="1" x14ac:dyDescent="0.25">
      <c r="E759" s="58" t="s">
        <v>954</v>
      </c>
      <c r="F759" s="65" t="s">
        <v>955</v>
      </c>
    </row>
    <row r="760" spans="5:6" hidden="1" x14ac:dyDescent="0.25">
      <c r="E760" s="58" t="s">
        <v>956</v>
      </c>
      <c r="F760" s="65" t="s">
        <v>957</v>
      </c>
    </row>
    <row r="761" spans="5:6" hidden="1" x14ac:dyDescent="0.25">
      <c r="E761" s="58" t="s">
        <v>958</v>
      </c>
      <c r="F761" s="65" t="s">
        <v>959</v>
      </c>
    </row>
    <row r="762" spans="5:6" hidden="1" x14ac:dyDescent="0.25">
      <c r="E762" s="58" t="s">
        <v>960</v>
      </c>
      <c r="F762" s="65" t="s">
        <v>961</v>
      </c>
    </row>
    <row r="763" spans="5:6" hidden="1" x14ac:dyDescent="0.25">
      <c r="E763" s="58" t="s">
        <v>962</v>
      </c>
      <c r="F763" s="65" t="s">
        <v>963</v>
      </c>
    </row>
    <row r="764" spans="5:6" hidden="1" x14ac:dyDescent="0.25">
      <c r="E764" s="58" t="s">
        <v>964</v>
      </c>
      <c r="F764" s="65" t="s">
        <v>965</v>
      </c>
    </row>
    <row r="765" spans="5:6" hidden="1" x14ac:dyDescent="0.25">
      <c r="E765" s="58" t="s">
        <v>966</v>
      </c>
      <c r="F765" s="65" t="s">
        <v>967</v>
      </c>
    </row>
    <row r="766" spans="5:6" ht="21" hidden="1" x14ac:dyDescent="0.25">
      <c r="E766" s="58" t="s">
        <v>968</v>
      </c>
      <c r="F766" s="65" t="s">
        <v>969</v>
      </c>
    </row>
    <row r="767" spans="5:6" ht="21" hidden="1" x14ac:dyDescent="0.25">
      <c r="E767" s="58" t="s">
        <v>970</v>
      </c>
      <c r="F767" s="65" t="s">
        <v>971</v>
      </c>
    </row>
    <row r="768" spans="5:6" ht="21" hidden="1" x14ac:dyDescent="0.25">
      <c r="E768" s="58" t="s">
        <v>972</v>
      </c>
      <c r="F768" s="65" t="s">
        <v>973</v>
      </c>
    </row>
    <row r="769" spans="5:6" hidden="1" x14ac:dyDescent="0.25">
      <c r="E769" s="58" t="s">
        <v>974</v>
      </c>
      <c r="F769" s="65" t="s">
        <v>975</v>
      </c>
    </row>
    <row r="770" spans="5:6" hidden="1" x14ac:dyDescent="0.25">
      <c r="E770" s="58" t="s">
        <v>976</v>
      </c>
      <c r="F770" s="65" t="s">
        <v>977</v>
      </c>
    </row>
    <row r="771" spans="5:6" hidden="1" x14ac:dyDescent="0.25">
      <c r="E771" s="58" t="s">
        <v>978</v>
      </c>
      <c r="F771" s="65" t="s">
        <v>979</v>
      </c>
    </row>
    <row r="772" spans="5:6" hidden="1" x14ac:dyDescent="0.25">
      <c r="E772" s="58" t="s">
        <v>980</v>
      </c>
      <c r="F772" s="65" t="s">
        <v>981</v>
      </c>
    </row>
    <row r="773" spans="5:6" hidden="1" x14ac:dyDescent="0.25">
      <c r="E773" s="58" t="s">
        <v>982</v>
      </c>
      <c r="F773" s="65" t="s">
        <v>983</v>
      </c>
    </row>
    <row r="774" spans="5:6" hidden="1" x14ac:dyDescent="0.25">
      <c r="E774" s="58" t="s">
        <v>984</v>
      </c>
      <c r="F774" s="65" t="s">
        <v>985</v>
      </c>
    </row>
    <row r="775" spans="5:6" hidden="1" x14ac:dyDescent="0.25">
      <c r="E775" s="58" t="s">
        <v>986</v>
      </c>
      <c r="F775" s="65" t="s">
        <v>987</v>
      </c>
    </row>
    <row r="776" spans="5:6" hidden="1" x14ac:dyDescent="0.25">
      <c r="E776" s="58" t="s">
        <v>988</v>
      </c>
      <c r="F776" s="65" t="s">
        <v>989</v>
      </c>
    </row>
    <row r="777" spans="5:6" hidden="1" x14ac:dyDescent="0.25">
      <c r="E777" s="58" t="s">
        <v>990</v>
      </c>
      <c r="F777" s="65" t="s">
        <v>991</v>
      </c>
    </row>
    <row r="778" spans="5:6" hidden="1" x14ac:dyDescent="0.25">
      <c r="E778" s="58" t="s">
        <v>992</v>
      </c>
      <c r="F778" s="65" t="s">
        <v>993</v>
      </c>
    </row>
    <row r="779" spans="5:6" hidden="1" x14ac:dyDescent="0.25">
      <c r="E779" s="58" t="s">
        <v>994</v>
      </c>
      <c r="F779" s="65" t="s">
        <v>995</v>
      </c>
    </row>
    <row r="780" spans="5:6" hidden="1" x14ac:dyDescent="0.25">
      <c r="E780" s="58" t="s">
        <v>996</v>
      </c>
      <c r="F780" s="65" t="s">
        <v>997</v>
      </c>
    </row>
    <row r="781" spans="5:6" hidden="1" x14ac:dyDescent="0.25">
      <c r="E781" s="58" t="s">
        <v>998</v>
      </c>
      <c r="F781" s="65" t="s">
        <v>999</v>
      </c>
    </row>
    <row r="782" spans="5:6" hidden="1" x14ac:dyDescent="0.25">
      <c r="E782" s="58" t="s">
        <v>1000</v>
      </c>
      <c r="F782" s="65" t="s">
        <v>1001</v>
      </c>
    </row>
    <row r="783" spans="5:6" hidden="1" x14ac:dyDescent="0.25">
      <c r="E783" s="58" t="s">
        <v>1002</v>
      </c>
      <c r="F783" s="65" t="s">
        <v>1003</v>
      </c>
    </row>
    <row r="784" spans="5:6" hidden="1" x14ac:dyDescent="0.25">
      <c r="E784" s="58" t="s">
        <v>1004</v>
      </c>
      <c r="F784" s="65" t="s">
        <v>1005</v>
      </c>
    </row>
    <row r="785" spans="5:6" hidden="1" x14ac:dyDescent="0.25">
      <c r="E785" s="58" t="s">
        <v>1006</v>
      </c>
      <c r="F785" s="65" t="s">
        <v>1007</v>
      </c>
    </row>
    <row r="786" spans="5:6" hidden="1" x14ac:dyDescent="0.25">
      <c r="E786" s="58" t="s">
        <v>1008</v>
      </c>
      <c r="F786" s="65" t="s">
        <v>1009</v>
      </c>
    </row>
    <row r="787" spans="5:6" hidden="1" x14ac:dyDescent="0.25">
      <c r="E787" s="58" t="s">
        <v>1010</v>
      </c>
      <c r="F787" s="65" t="s">
        <v>1011</v>
      </c>
    </row>
    <row r="788" spans="5:6" hidden="1" x14ac:dyDescent="0.25">
      <c r="E788" s="58" t="s">
        <v>1012</v>
      </c>
      <c r="F788" s="65" t="s">
        <v>1013</v>
      </c>
    </row>
    <row r="789" spans="5:6" hidden="1" x14ac:dyDescent="0.25">
      <c r="E789" s="58" t="s">
        <v>1014</v>
      </c>
      <c r="F789" s="65" t="s">
        <v>1015</v>
      </c>
    </row>
    <row r="790" spans="5:6" hidden="1" x14ac:dyDescent="0.25">
      <c r="E790" s="58" t="s">
        <v>1016</v>
      </c>
      <c r="F790" s="65" t="s">
        <v>1017</v>
      </c>
    </row>
    <row r="791" spans="5:6" hidden="1" x14ac:dyDescent="0.25">
      <c r="E791" s="58" t="s">
        <v>1018</v>
      </c>
      <c r="F791" s="65" t="s">
        <v>1019</v>
      </c>
    </row>
    <row r="792" spans="5:6" hidden="1" x14ac:dyDescent="0.25">
      <c r="E792" s="58" t="s">
        <v>1020</v>
      </c>
      <c r="F792" s="65" t="s">
        <v>1021</v>
      </c>
    </row>
    <row r="793" spans="5:6" hidden="1" x14ac:dyDescent="0.25">
      <c r="E793" s="58" t="s">
        <v>1022</v>
      </c>
      <c r="F793" s="65" t="s">
        <v>1023</v>
      </c>
    </row>
    <row r="794" spans="5:6" hidden="1" x14ac:dyDescent="0.25">
      <c r="E794" s="58" t="s">
        <v>1024</v>
      </c>
      <c r="F794" s="65" t="s">
        <v>1025</v>
      </c>
    </row>
    <row r="795" spans="5:6" hidden="1" x14ac:dyDescent="0.25">
      <c r="E795" s="58" t="s">
        <v>1026</v>
      </c>
      <c r="F795" s="65" t="s">
        <v>1027</v>
      </c>
    </row>
    <row r="796" spans="5:6" hidden="1" x14ac:dyDescent="0.25">
      <c r="E796" s="58" t="s">
        <v>1028</v>
      </c>
      <c r="F796" s="65" t="s">
        <v>1029</v>
      </c>
    </row>
    <row r="797" spans="5:6" hidden="1" x14ac:dyDescent="0.25">
      <c r="E797" s="58" t="s">
        <v>1030</v>
      </c>
      <c r="F797" s="65" t="s">
        <v>1031</v>
      </c>
    </row>
    <row r="798" spans="5:6" hidden="1" x14ac:dyDescent="0.25">
      <c r="E798" s="58" t="s">
        <v>1032</v>
      </c>
      <c r="F798" s="65" t="s">
        <v>1033</v>
      </c>
    </row>
    <row r="799" spans="5:6" hidden="1" x14ac:dyDescent="0.25">
      <c r="E799" s="58" t="s">
        <v>1034</v>
      </c>
      <c r="F799" s="65" t="s">
        <v>1035</v>
      </c>
    </row>
    <row r="800" spans="5:6" hidden="1" x14ac:dyDescent="0.25">
      <c r="E800" s="58" t="s">
        <v>1036</v>
      </c>
      <c r="F800" s="65" t="s">
        <v>1037</v>
      </c>
    </row>
    <row r="801" spans="5:6" hidden="1" x14ac:dyDescent="0.25">
      <c r="E801" s="58" t="s">
        <v>1038</v>
      </c>
      <c r="F801" s="65" t="s">
        <v>1039</v>
      </c>
    </row>
    <row r="802" spans="5:6" hidden="1" x14ac:dyDescent="0.25">
      <c r="E802" s="58" t="s">
        <v>1040</v>
      </c>
      <c r="F802" s="65" t="s">
        <v>1041</v>
      </c>
    </row>
    <row r="803" spans="5:6" ht="21" hidden="1" x14ac:dyDescent="0.25">
      <c r="E803" s="58" t="s">
        <v>1042</v>
      </c>
      <c r="F803" s="65" t="s">
        <v>1043</v>
      </c>
    </row>
    <row r="804" spans="5:6" hidden="1" x14ac:dyDescent="0.25">
      <c r="E804" s="58" t="s">
        <v>1044</v>
      </c>
      <c r="F804" s="65" t="s">
        <v>1045</v>
      </c>
    </row>
    <row r="805" spans="5:6" hidden="1" x14ac:dyDescent="0.25">
      <c r="E805" s="58" t="s">
        <v>1046</v>
      </c>
      <c r="F805" s="65" t="s">
        <v>1047</v>
      </c>
    </row>
    <row r="806" spans="5:6" hidden="1" x14ac:dyDescent="0.25">
      <c r="E806" s="58" t="s">
        <v>1048</v>
      </c>
      <c r="F806" s="65" t="s">
        <v>1049</v>
      </c>
    </row>
    <row r="807" spans="5:6" ht="21" hidden="1" x14ac:dyDescent="0.25">
      <c r="E807" s="58" t="s">
        <v>1050</v>
      </c>
      <c r="F807" s="65" t="s">
        <v>1051</v>
      </c>
    </row>
    <row r="808" spans="5:6" hidden="1" x14ac:dyDescent="0.25">
      <c r="E808" s="58" t="s">
        <v>1052</v>
      </c>
      <c r="F808" s="65" t="s">
        <v>1053</v>
      </c>
    </row>
    <row r="809" spans="5:6" hidden="1" x14ac:dyDescent="0.25">
      <c r="E809" s="58" t="s">
        <v>1054</v>
      </c>
      <c r="F809" s="65" t="s">
        <v>1055</v>
      </c>
    </row>
    <row r="810" spans="5:6" hidden="1" x14ac:dyDescent="0.25">
      <c r="E810" s="58" t="s">
        <v>1056</v>
      </c>
      <c r="F810" s="65" t="s">
        <v>1057</v>
      </c>
    </row>
    <row r="811" spans="5:6" hidden="1" x14ac:dyDescent="0.25">
      <c r="E811" s="58" t="s">
        <v>1056</v>
      </c>
      <c r="F811" s="65" t="s">
        <v>1058</v>
      </c>
    </row>
    <row r="812" spans="5:6" hidden="1" x14ac:dyDescent="0.25">
      <c r="E812" s="58" t="s">
        <v>1059</v>
      </c>
      <c r="F812" s="65" t="s">
        <v>1060</v>
      </c>
    </row>
    <row r="813" spans="5:6" hidden="1" x14ac:dyDescent="0.25">
      <c r="E813" s="58" t="s">
        <v>1061</v>
      </c>
      <c r="F813" s="65" t="s">
        <v>1062</v>
      </c>
    </row>
    <row r="814" spans="5:6" hidden="1" x14ac:dyDescent="0.25">
      <c r="E814" s="58" t="s">
        <v>1063</v>
      </c>
      <c r="F814" s="65" t="s">
        <v>1064</v>
      </c>
    </row>
    <row r="815" spans="5:6" hidden="1" x14ac:dyDescent="0.25">
      <c r="E815" s="58" t="s">
        <v>1065</v>
      </c>
      <c r="F815" s="65" t="s">
        <v>1066</v>
      </c>
    </row>
    <row r="816" spans="5:6" hidden="1" x14ac:dyDescent="0.25">
      <c r="E816" s="58" t="s">
        <v>1067</v>
      </c>
      <c r="F816" s="65" t="s">
        <v>1068</v>
      </c>
    </row>
    <row r="817" spans="5:6" hidden="1" x14ac:dyDescent="0.25">
      <c r="E817" s="58" t="s">
        <v>1069</v>
      </c>
      <c r="F817" s="65" t="s">
        <v>1070</v>
      </c>
    </row>
    <row r="818" spans="5:6" hidden="1" x14ac:dyDescent="0.25">
      <c r="E818" s="58" t="s">
        <v>1071</v>
      </c>
      <c r="F818" s="65" t="s">
        <v>1072</v>
      </c>
    </row>
    <row r="819" spans="5:6" hidden="1" x14ac:dyDescent="0.25">
      <c r="E819" s="58" t="s">
        <v>1073</v>
      </c>
      <c r="F819" s="65" t="s">
        <v>1074</v>
      </c>
    </row>
    <row r="820" spans="5:6" hidden="1" x14ac:dyDescent="0.25">
      <c r="E820" s="58" t="s">
        <v>1075</v>
      </c>
      <c r="F820" s="65" t="s">
        <v>1076</v>
      </c>
    </row>
    <row r="821" spans="5:6" hidden="1" x14ac:dyDescent="0.25">
      <c r="E821" s="58" t="s">
        <v>1077</v>
      </c>
      <c r="F821" s="65" t="s">
        <v>1078</v>
      </c>
    </row>
    <row r="822" spans="5:6" hidden="1" x14ac:dyDescent="0.25">
      <c r="E822" s="58" t="s">
        <v>1079</v>
      </c>
      <c r="F822" s="65" t="s">
        <v>1080</v>
      </c>
    </row>
    <row r="823" spans="5:6" hidden="1" x14ac:dyDescent="0.25">
      <c r="E823" s="58" t="s">
        <v>1081</v>
      </c>
      <c r="F823" s="65" t="s">
        <v>1082</v>
      </c>
    </row>
    <row r="824" spans="5:6" hidden="1" x14ac:dyDescent="0.25">
      <c r="E824" s="58" t="s">
        <v>1083</v>
      </c>
      <c r="F824" s="65" t="s">
        <v>1084</v>
      </c>
    </row>
    <row r="825" spans="5:6" hidden="1" x14ac:dyDescent="0.25">
      <c r="E825" s="58" t="s">
        <v>1085</v>
      </c>
      <c r="F825" s="65" t="s">
        <v>1086</v>
      </c>
    </row>
    <row r="826" spans="5:6" hidden="1" x14ac:dyDescent="0.25">
      <c r="E826" s="58" t="s">
        <v>554</v>
      </c>
      <c r="F826" s="65" t="s">
        <v>1087</v>
      </c>
    </row>
    <row r="827" spans="5:6" hidden="1" x14ac:dyDescent="0.25">
      <c r="E827" s="58" t="s">
        <v>1088</v>
      </c>
      <c r="F827" s="65" t="s">
        <v>1089</v>
      </c>
    </row>
    <row r="828" spans="5:6" hidden="1" x14ac:dyDescent="0.25">
      <c r="E828" s="58" t="s">
        <v>1090</v>
      </c>
      <c r="F828" s="65" t="s">
        <v>1091</v>
      </c>
    </row>
    <row r="829" spans="5:6" hidden="1" x14ac:dyDescent="0.25">
      <c r="E829" s="58" t="s">
        <v>1092</v>
      </c>
      <c r="F829" s="65" t="s">
        <v>1093</v>
      </c>
    </row>
    <row r="830" spans="5:6" hidden="1" x14ac:dyDescent="0.25">
      <c r="E830" s="58" t="s">
        <v>1094</v>
      </c>
      <c r="F830" s="65" t="s">
        <v>1095</v>
      </c>
    </row>
    <row r="831" spans="5:6" hidden="1" x14ac:dyDescent="0.25">
      <c r="E831" s="58" t="s">
        <v>1096</v>
      </c>
      <c r="F831" s="65" t="s">
        <v>1097</v>
      </c>
    </row>
    <row r="832" spans="5:6" hidden="1" x14ac:dyDescent="0.25">
      <c r="E832" s="58" t="s">
        <v>1098</v>
      </c>
      <c r="F832" s="65" t="s">
        <v>1099</v>
      </c>
    </row>
    <row r="833" spans="5:6" hidden="1" x14ac:dyDescent="0.25">
      <c r="E833" s="58" t="s">
        <v>1100</v>
      </c>
      <c r="F833" s="65" t="s">
        <v>1101</v>
      </c>
    </row>
    <row r="834" spans="5:6" hidden="1" x14ac:dyDescent="0.25">
      <c r="E834" s="58" t="s">
        <v>1102</v>
      </c>
      <c r="F834" s="65" t="s">
        <v>1103</v>
      </c>
    </row>
    <row r="835" spans="5:6" hidden="1" x14ac:dyDescent="0.25">
      <c r="E835" s="58" t="s">
        <v>1104</v>
      </c>
      <c r="F835" s="65" t="s">
        <v>1105</v>
      </c>
    </row>
    <row r="836" spans="5:6" hidden="1" x14ac:dyDescent="0.25">
      <c r="E836" s="58" t="s">
        <v>1106</v>
      </c>
      <c r="F836" s="65" t="s">
        <v>1107</v>
      </c>
    </row>
    <row r="837" spans="5:6" hidden="1" x14ac:dyDescent="0.25">
      <c r="E837" s="58" t="s">
        <v>1108</v>
      </c>
      <c r="F837" s="65" t="s">
        <v>1109</v>
      </c>
    </row>
    <row r="838" spans="5:6" hidden="1" x14ac:dyDescent="0.25">
      <c r="E838" s="58" t="s">
        <v>1110</v>
      </c>
      <c r="F838" s="65" t="s">
        <v>1111</v>
      </c>
    </row>
    <row r="839" spans="5:6" hidden="1" x14ac:dyDescent="0.25">
      <c r="E839" s="58" t="s">
        <v>1112</v>
      </c>
      <c r="F839" s="65" t="s">
        <v>1113</v>
      </c>
    </row>
    <row r="840" spans="5:6" hidden="1" x14ac:dyDescent="0.25">
      <c r="E840" s="58" t="s">
        <v>1114</v>
      </c>
      <c r="F840" s="65" t="s">
        <v>1115</v>
      </c>
    </row>
    <row r="841" spans="5:6" hidden="1" x14ac:dyDescent="0.25">
      <c r="E841" s="58" t="s">
        <v>1116</v>
      </c>
      <c r="F841" s="65" t="s">
        <v>1117</v>
      </c>
    </row>
    <row r="842" spans="5:6" hidden="1" x14ac:dyDescent="0.25">
      <c r="E842" s="58" t="s">
        <v>1118</v>
      </c>
      <c r="F842" s="65" t="s">
        <v>1119</v>
      </c>
    </row>
    <row r="843" spans="5:6" ht="21" hidden="1" x14ac:dyDescent="0.25">
      <c r="E843" s="58" t="s">
        <v>1120</v>
      </c>
      <c r="F843" s="65" t="s">
        <v>1121</v>
      </c>
    </row>
    <row r="844" spans="5:6" hidden="1" x14ac:dyDescent="0.25">
      <c r="E844" s="58" t="s">
        <v>1122</v>
      </c>
      <c r="F844" s="65" t="s">
        <v>1123</v>
      </c>
    </row>
    <row r="845" spans="5:6" ht="21" hidden="1" x14ac:dyDescent="0.25">
      <c r="E845" s="58" t="s">
        <v>1124</v>
      </c>
      <c r="F845" s="65" t="s">
        <v>1125</v>
      </c>
    </row>
    <row r="846" spans="5:6" hidden="1" x14ac:dyDescent="0.25">
      <c r="E846" s="58" t="s">
        <v>1126</v>
      </c>
      <c r="F846" s="65" t="s">
        <v>1127</v>
      </c>
    </row>
    <row r="847" spans="5:6" hidden="1" x14ac:dyDescent="0.25">
      <c r="E847" s="58" t="s">
        <v>1128</v>
      </c>
      <c r="F847" s="65" t="s">
        <v>1129</v>
      </c>
    </row>
    <row r="848" spans="5:6" hidden="1" x14ac:dyDescent="0.25">
      <c r="E848" s="58" t="s">
        <v>1130</v>
      </c>
      <c r="F848" s="65" t="s">
        <v>1131</v>
      </c>
    </row>
    <row r="849" spans="5:6" hidden="1" x14ac:dyDescent="0.25">
      <c r="E849" s="58" t="s">
        <v>1132</v>
      </c>
      <c r="F849" s="65" t="s">
        <v>1133</v>
      </c>
    </row>
    <row r="850" spans="5:6" hidden="1" x14ac:dyDescent="0.25">
      <c r="E850" s="58" t="s">
        <v>1134</v>
      </c>
      <c r="F850" s="65" t="s">
        <v>1135</v>
      </c>
    </row>
    <row r="851" spans="5:6" hidden="1" x14ac:dyDescent="0.25">
      <c r="E851" s="58" t="s">
        <v>1136</v>
      </c>
      <c r="F851" s="65" t="s">
        <v>1137</v>
      </c>
    </row>
    <row r="852" spans="5:6" hidden="1" x14ac:dyDescent="0.25">
      <c r="E852" s="58" t="s">
        <v>1138</v>
      </c>
      <c r="F852" s="65" t="s">
        <v>1139</v>
      </c>
    </row>
    <row r="853" spans="5:6" hidden="1" x14ac:dyDescent="0.25">
      <c r="E853" s="58" t="s">
        <v>1140</v>
      </c>
      <c r="F853" s="65" t="s">
        <v>1141</v>
      </c>
    </row>
    <row r="854" spans="5:6" hidden="1" x14ac:dyDescent="0.25">
      <c r="E854" s="58" t="s">
        <v>1142</v>
      </c>
      <c r="F854" s="65" t="s">
        <v>1143</v>
      </c>
    </row>
    <row r="855" spans="5:6" hidden="1" x14ac:dyDescent="0.25">
      <c r="E855" s="58" t="s">
        <v>1144</v>
      </c>
      <c r="F855" s="65" t="s">
        <v>1145</v>
      </c>
    </row>
    <row r="856" spans="5:6" hidden="1" x14ac:dyDescent="0.25">
      <c r="E856" s="58" t="s">
        <v>1146</v>
      </c>
      <c r="F856" s="65" t="s">
        <v>1147</v>
      </c>
    </row>
    <row r="857" spans="5:6" hidden="1" x14ac:dyDescent="0.25">
      <c r="E857" s="58" t="s">
        <v>1148</v>
      </c>
      <c r="F857" s="65" t="s">
        <v>1149</v>
      </c>
    </row>
    <row r="858" spans="5:6" hidden="1" x14ac:dyDescent="0.25">
      <c r="E858" s="58" t="s">
        <v>1150</v>
      </c>
      <c r="F858" s="65" t="s">
        <v>1151</v>
      </c>
    </row>
    <row r="859" spans="5:6" hidden="1" x14ac:dyDescent="0.25">
      <c r="E859" s="58" t="s">
        <v>1152</v>
      </c>
      <c r="F859" s="65" t="s">
        <v>1153</v>
      </c>
    </row>
    <row r="860" spans="5:6" hidden="1" x14ac:dyDescent="0.25">
      <c r="E860" s="58" t="s">
        <v>1154</v>
      </c>
      <c r="F860" s="65" t="s">
        <v>1155</v>
      </c>
    </row>
    <row r="861" spans="5:6" hidden="1" x14ac:dyDescent="0.25">
      <c r="E861" s="58" t="s">
        <v>1156</v>
      </c>
      <c r="F861" s="65" t="s">
        <v>1157</v>
      </c>
    </row>
    <row r="862" spans="5:6" hidden="1" x14ac:dyDescent="0.25">
      <c r="E862" s="58" t="s">
        <v>1158</v>
      </c>
      <c r="F862" s="65" t="s">
        <v>1159</v>
      </c>
    </row>
    <row r="863" spans="5:6" hidden="1" x14ac:dyDescent="0.25">
      <c r="E863" s="58" t="s">
        <v>1160</v>
      </c>
      <c r="F863" s="65" t="s">
        <v>1161</v>
      </c>
    </row>
    <row r="864" spans="5:6" hidden="1" x14ac:dyDescent="0.25">
      <c r="E864" s="58" t="s">
        <v>1162</v>
      </c>
      <c r="F864" s="65" t="s">
        <v>1163</v>
      </c>
    </row>
    <row r="865" spans="5:6" hidden="1" x14ac:dyDescent="0.25">
      <c r="E865" s="58" t="s">
        <v>1164</v>
      </c>
      <c r="F865" s="65" t="s">
        <v>1165</v>
      </c>
    </row>
    <row r="866" spans="5:6" hidden="1" x14ac:dyDescent="0.25">
      <c r="E866" s="58" t="s">
        <v>1166</v>
      </c>
      <c r="F866" s="65" t="s">
        <v>1167</v>
      </c>
    </row>
    <row r="867" spans="5:6" hidden="1" x14ac:dyDescent="0.25">
      <c r="E867" s="58" t="s">
        <v>1168</v>
      </c>
      <c r="F867" s="65" t="s">
        <v>1169</v>
      </c>
    </row>
    <row r="868" spans="5:6" hidden="1" x14ac:dyDescent="0.25">
      <c r="E868" s="58" t="s">
        <v>1170</v>
      </c>
      <c r="F868" s="65" t="s">
        <v>1171</v>
      </c>
    </row>
    <row r="869" spans="5:6" hidden="1" x14ac:dyDescent="0.25">
      <c r="E869" s="58" t="s">
        <v>1172</v>
      </c>
      <c r="F869" s="65" t="s">
        <v>1173</v>
      </c>
    </row>
    <row r="870" spans="5:6" ht="21" hidden="1" x14ac:dyDescent="0.25">
      <c r="E870" s="58" t="s">
        <v>1174</v>
      </c>
      <c r="F870" s="65" t="s">
        <v>1175</v>
      </c>
    </row>
    <row r="871" spans="5:6" hidden="1" x14ac:dyDescent="0.25">
      <c r="E871" s="58" t="s">
        <v>1176</v>
      </c>
      <c r="F871" s="65" t="s">
        <v>1177</v>
      </c>
    </row>
    <row r="872" spans="5:6" ht="21" hidden="1" x14ac:dyDescent="0.25">
      <c r="E872" s="58" t="s">
        <v>1178</v>
      </c>
      <c r="F872" s="65" t="s">
        <v>1179</v>
      </c>
    </row>
    <row r="873" spans="5:6" ht="21" hidden="1" x14ac:dyDescent="0.25">
      <c r="E873" s="58" t="s">
        <v>1180</v>
      </c>
      <c r="F873" s="65" t="s">
        <v>1181</v>
      </c>
    </row>
    <row r="874" spans="5:6" ht="21" hidden="1" x14ac:dyDescent="0.25">
      <c r="E874" s="58" t="s">
        <v>1182</v>
      </c>
      <c r="F874" s="65" t="s">
        <v>1183</v>
      </c>
    </row>
    <row r="875" spans="5:6" ht="21" hidden="1" x14ac:dyDescent="0.25">
      <c r="E875" s="58" t="s">
        <v>1184</v>
      </c>
      <c r="F875" s="65" t="s">
        <v>1185</v>
      </c>
    </row>
    <row r="876" spans="5:6" ht="21" hidden="1" x14ac:dyDescent="0.25">
      <c r="E876" s="58" t="s">
        <v>1186</v>
      </c>
      <c r="F876" s="65" t="s">
        <v>1187</v>
      </c>
    </row>
    <row r="877" spans="5:6" hidden="1" x14ac:dyDescent="0.25">
      <c r="E877" s="58" t="s">
        <v>1188</v>
      </c>
      <c r="F877" s="65" t="s">
        <v>1189</v>
      </c>
    </row>
    <row r="878" spans="5:6" ht="21" hidden="1" x14ac:dyDescent="0.25">
      <c r="E878" s="58" t="s">
        <v>1190</v>
      </c>
      <c r="F878" s="65" t="s">
        <v>1191</v>
      </c>
    </row>
    <row r="879" spans="5:6" hidden="1" x14ac:dyDescent="0.25">
      <c r="E879" s="58" t="s">
        <v>1192</v>
      </c>
      <c r="F879" s="65" t="s">
        <v>1193</v>
      </c>
    </row>
    <row r="880" spans="5:6" hidden="1" x14ac:dyDescent="0.25">
      <c r="E880" s="58" t="s">
        <v>1194</v>
      </c>
      <c r="F880" s="65" t="s">
        <v>1195</v>
      </c>
    </row>
    <row r="881" spans="5:6" ht="21" hidden="1" x14ac:dyDescent="0.25">
      <c r="E881" s="58" t="s">
        <v>1196</v>
      </c>
      <c r="F881" s="65" t="s">
        <v>1197</v>
      </c>
    </row>
    <row r="882" spans="5:6" hidden="1" x14ac:dyDescent="0.25">
      <c r="E882" s="58" t="s">
        <v>98</v>
      </c>
      <c r="F882" s="65" t="s">
        <v>1198</v>
      </c>
    </row>
    <row r="883" spans="5:6" hidden="1" x14ac:dyDescent="0.25">
      <c r="E883" s="58" t="s">
        <v>1199</v>
      </c>
      <c r="F883" s="65" t="s">
        <v>1200</v>
      </c>
    </row>
    <row r="884" spans="5:6" hidden="1" x14ac:dyDescent="0.25">
      <c r="E884" s="58" t="s">
        <v>1201</v>
      </c>
      <c r="F884" s="65" t="s">
        <v>1202</v>
      </c>
    </row>
    <row r="885" spans="5:6" hidden="1" x14ac:dyDescent="0.25">
      <c r="E885" s="58" t="s">
        <v>1203</v>
      </c>
      <c r="F885" s="65" t="s">
        <v>1204</v>
      </c>
    </row>
    <row r="886" spans="5:6" ht="21" hidden="1" x14ac:dyDescent="0.25">
      <c r="E886" s="58" t="s">
        <v>1205</v>
      </c>
      <c r="F886" s="65" t="s">
        <v>1206</v>
      </c>
    </row>
    <row r="887" spans="5:6" hidden="1" x14ac:dyDescent="0.25">
      <c r="E887" s="58" t="s">
        <v>1207</v>
      </c>
      <c r="F887" s="65" t="s">
        <v>1208</v>
      </c>
    </row>
    <row r="888" spans="5:6" hidden="1" x14ac:dyDescent="0.25">
      <c r="E888" s="58" t="s">
        <v>1209</v>
      </c>
      <c r="F888" s="65" t="s">
        <v>1210</v>
      </c>
    </row>
    <row r="889" spans="5:6" hidden="1" x14ac:dyDescent="0.25">
      <c r="E889" s="58" t="s">
        <v>1211</v>
      </c>
      <c r="F889" s="65" t="s">
        <v>1212</v>
      </c>
    </row>
    <row r="890" spans="5:6" hidden="1" x14ac:dyDescent="0.25">
      <c r="E890" s="58" t="s">
        <v>1213</v>
      </c>
      <c r="F890" s="65" t="s">
        <v>1214</v>
      </c>
    </row>
    <row r="891" spans="5:6" hidden="1" x14ac:dyDescent="0.25">
      <c r="E891" s="58" t="s">
        <v>1215</v>
      </c>
      <c r="F891" s="65" t="s">
        <v>1216</v>
      </c>
    </row>
    <row r="892" spans="5:6" hidden="1" x14ac:dyDescent="0.25">
      <c r="E892" s="58" t="s">
        <v>1217</v>
      </c>
      <c r="F892" s="65" t="s">
        <v>1218</v>
      </c>
    </row>
    <row r="893" spans="5:6" hidden="1" x14ac:dyDescent="0.25">
      <c r="E893" s="58" t="s">
        <v>1219</v>
      </c>
      <c r="F893" s="65" t="s">
        <v>1220</v>
      </c>
    </row>
    <row r="894" spans="5:6" hidden="1" x14ac:dyDescent="0.25">
      <c r="E894" s="58" t="s">
        <v>18</v>
      </c>
      <c r="F894" s="65" t="s">
        <v>1221</v>
      </c>
    </row>
    <row r="895" spans="5:6" hidden="1" x14ac:dyDescent="0.25">
      <c r="E895" s="58" t="s">
        <v>1222</v>
      </c>
      <c r="F895" s="65" t="s">
        <v>1223</v>
      </c>
    </row>
    <row r="896" spans="5:6" hidden="1" x14ac:dyDescent="0.25">
      <c r="E896" s="58" t="s">
        <v>1224</v>
      </c>
      <c r="F896" s="65" t="s">
        <v>1225</v>
      </c>
    </row>
    <row r="897" spans="5:6" hidden="1" x14ac:dyDescent="0.25">
      <c r="E897" s="58" t="s">
        <v>1226</v>
      </c>
      <c r="F897" s="65" t="s">
        <v>1227</v>
      </c>
    </row>
    <row r="898" spans="5:6" hidden="1" x14ac:dyDescent="0.25">
      <c r="E898" s="58" t="s">
        <v>1228</v>
      </c>
      <c r="F898" s="65" t="s">
        <v>1229</v>
      </c>
    </row>
    <row r="899" spans="5:6" hidden="1" x14ac:dyDescent="0.25">
      <c r="E899" s="58" t="s">
        <v>1230</v>
      </c>
      <c r="F899" s="65" t="s">
        <v>1231</v>
      </c>
    </row>
    <row r="900" spans="5:6" hidden="1" x14ac:dyDescent="0.25">
      <c r="E900" s="58" t="s">
        <v>1232</v>
      </c>
      <c r="F900" s="65" t="s">
        <v>1233</v>
      </c>
    </row>
    <row r="901" spans="5:6" hidden="1" x14ac:dyDescent="0.25">
      <c r="E901" s="58" t="s">
        <v>1234</v>
      </c>
      <c r="F901" s="65" t="s">
        <v>1235</v>
      </c>
    </row>
    <row r="902" spans="5:6" hidden="1" x14ac:dyDescent="0.25">
      <c r="E902" s="58" t="s">
        <v>1236</v>
      </c>
      <c r="F902" s="65" t="s">
        <v>1237</v>
      </c>
    </row>
    <row r="903" spans="5:6" hidden="1" x14ac:dyDescent="0.25">
      <c r="E903" s="58" t="s">
        <v>1238</v>
      </c>
      <c r="F903" s="65" t="s">
        <v>1239</v>
      </c>
    </row>
    <row r="904" spans="5:6" hidden="1" x14ac:dyDescent="0.25">
      <c r="E904" s="58" t="s">
        <v>1240</v>
      </c>
      <c r="F904" s="65" t="s">
        <v>1241</v>
      </c>
    </row>
    <row r="905" spans="5:6" hidden="1" x14ac:dyDescent="0.25">
      <c r="E905" s="58" t="s">
        <v>1242</v>
      </c>
      <c r="F905" s="65" t="s">
        <v>1243</v>
      </c>
    </row>
    <row r="906" spans="5:6" hidden="1" x14ac:dyDescent="0.25">
      <c r="E906" s="58" t="s">
        <v>1244</v>
      </c>
      <c r="F906" s="65" t="s">
        <v>1245</v>
      </c>
    </row>
    <row r="907" spans="5:6" hidden="1" x14ac:dyDescent="0.25">
      <c r="E907" s="58" t="s">
        <v>1246</v>
      </c>
      <c r="F907" s="65" t="s">
        <v>1247</v>
      </c>
    </row>
    <row r="908" spans="5:6" hidden="1" x14ac:dyDescent="0.25">
      <c r="E908" s="58" t="s">
        <v>1248</v>
      </c>
      <c r="F908" s="65" t="s">
        <v>1249</v>
      </c>
    </row>
    <row r="909" spans="5:6" ht="21" hidden="1" x14ac:dyDescent="0.25">
      <c r="E909" s="58" t="s">
        <v>1250</v>
      </c>
      <c r="F909" s="65" t="s">
        <v>1251</v>
      </c>
    </row>
    <row r="910" spans="5:6" ht="21" hidden="1" x14ac:dyDescent="0.25">
      <c r="E910" s="58" t="s">
        <v>1252</v>
      </c>
      <c r="F910" s="65" t="s">
        <v>1253</v>
      </c>
    </row>
    <row r="911" spans="5:6" hidden="1" x14ac:dyDescent="0.25">
      <c r="E911" s="58" t="s">
        <v>1254</v>
      </c>
      <c r="F911" s="65" t="s">
        <v>1255</v>
      </c>
    </row>
    <row r="912" spans="5:6" hidden="1" x14ac:dyDescent="0.25">
      <c r="E912" s="58" t="s">
        <v>1256</v>
      </c>
      <c r="F912" s="65" t="s">
        <v>1257</v>
      </c>
    </row>
    <row r="913" spans="5:6" hidden="1" x14ac:dyDescent="0.25">
      <c r="E913" s="58" t="s">
        <v>1258</v>
      </c>
      <c r="F913" s="65" t="s">
        <v>1259</v>
      </c>
    </row>
    <row r="914" spans="5:6" hidden="1" x14ac:dyDescent="0.25">
      <c r="E914" s="58" t="s">
        <v>1260</v>
      </c>
      <c r="F914" s="65" t="s">
        <v>1261</v>
      </c>
    </row>
    <row r="915" spans="5:6" hidden="1" x14ac:dyDescent="0.25">
      <c r="E915" s="65" t="s">
        <v>1262</v>
      </c>
      <c r="F915" s="65" t="s">
        <v>1263</v>
      </c>
    </row>
    <row r="916" spans="5:6" hidden="1" x14ac:dyDescent="0.25">
      <c r="E916" s="65" t="s">
        <v>1264</v>
      </c>
      <c r="F916" s="65">
        <v>1200598</v>
      </c>
    </row>
    <row r="917" spans="5:6" hidden="1" x14ac:dyDescent="0.25">
      <c r="E917" s="65" t="s">
        <v>1265</v>
      </c>
      <c r="F917" s="65">
        <v>1200599</v>
      </c>
    </row>
    <row r="918" spans="5:6" hidden="1" x14ac:dyDescent="0.25">
      <c r="E918" s="65" t="s">
        <v>1266</v>
      </c>
      <c r="F918" s="65">
        <v>1200600</v>
      </c>
    </row>
    <row r="919" spans="5:6" hidden="1" x14ac:dyDescent="0.25">
      <c r="E919" s="65" t="s">
        <v>1267</v>
      </c>
      <c r="F919" s="65">
        <v>1200594</v>
      </c>
    </row>
    <row r="920" spans="5:6" hidden="1" x14ac:dyDescent="0.25">
      <c r="E920" s="65" t="s">
        <v>1268</v>
      </c>
      <c r="F920" s="65">
        <v>1200594</v>
      </c>
    </row>
    <row r="921" spans="5:6" hidden="1" x14ac:dyDescent="0.25">
      <c r="E921" s="65" t="s">
        <v>1269</v>
      </c>
      <c r="F921" s="65">
        <v>1200106</v>
      </c>
    </row>
    <row r="922" spans="5:6" hidden="1" x14ac:dyDescent="0.25">
      <c r="E922" s="65" t="s">
        <v>594</v>
      </c>
      <c r="F922" s="65">
        <v>1200245</v>
      </c>
    </row>
    <row r="923" spans="5:6" hidden="1" x14ac:dyDescent="0.25">
      <c r="E923" s="65" t="s">
        <v>1270</v>
      </c>
      <c r="F923" s="65">
        <v>1200589</v>
      </c>
    </row>
    <row r="924" spans="5:6" hidden="1" x14ac:dyDescent="0.25">
      <c r="E924" s="65" t="s">
        <v>1271</v>
      </c>
      <c r="F924" s="65">
        <v>1100044</v>
      </c>
    </row>
    <row r="925" spans="5:6" hidden="1" x14ac:dyDescent="0.25">
      <c r="E925" s="65" t="s">
        <v>1272</v>
      </c>
      <c r="F925" s="65">
        <v>1100043</v>
      </c>
    </row>
    <row r="926" spans="5:6" hidden="1" x14ac:dyDescent="0.25">
      <c r="E926" s="65" t="s">
        <v>1273</v>
      </c>
      <c r="F926" s="65">
        <v>1100046</v>
      </c>
    </row>
    <row r="927" spans="5:6" hidden="1" x14ac:dyDescent="0.25">
      <c r="E927" s="65" t="s">
        <v>1274</v>
      </c>
      <c r="F927" s="65">
        <v>1100045</v>
      </c>
    </row>
    <row r="928" spans="5:6" hidden="1" x14ac:dyDescent="0.25">
      <c r="E928" s="65" t="s">
        <v>1275</v>
      </c>
      <c r="F928" s="65">
        <v>1200650</v>
      </c>
    </row>
    <row r="929" spans="5:6" hidden="1" x14ac:dyDescent="0.25">
      <c r="E929" s="63" t="s">
        <v>1276</v>
      </c>
      <c r="F929" s="62">
        <v>1200651</v>
      </c>
    </row>
  </sheetData>
  <protectedRanges>
    <protectedRange algorithmName="SHA-512" hashValue="n4wrgJgIHIHtiGtMhDDDc0UmstQJ8hDs/kwLRQtWqYFbBeb4I2wQtPptbPFRq6qGhiCvs1rRuYJxa1dlNGfU1A==" saltValue="pxnN/uWl+k3uvlQeyFlBbg==" spinCount="100000" sqref="H13 I24:I26 K4 H4:I4" name="Proceso"/>
  </protectedRanges>
  <phoneticPr fontId="3" type="noConversion"/>
  <conditionalFormatting sqref="H4">
    <cfRule type="beginsWith" dxfId="83" priority="1" operator="beginsWith" text="0">
      <formula>LEFT(H4,LEN("0"))="0"</formula>
    </cfRule>
  </conditionalFormatting>
  <pageMargins left="0.7" right="0.7" top="0.75" bottom="0.75" header="0.3" footer="0.3"/>
  <pageSetup paperSize="9" orientation="portrait" r:id="rId1"/>
  <legacy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CA4ED-E4B9-486C-879D-B25A814C6640}">
  <sheetPr codeName="Sheet2">
    <tabColor rgb="FFFF5050"/>
  </sheetPr>
  <dimension ref="A1:BN150"/>
  <sheetViews>
    <sheetView showGridLines="0" zoomScaleNormal="100" workbookViewId="0"/>
  </sheetViews>
  <sheetFormatPr defaultColWidth="11.5703125" defaultRowHeight="15" x14ac:dyDescent="0.25"/>
  <cols>
    <col min="1" max="1" width="30" style="27" customWidth="1"/>
    <col min="2" max="2" width="24" style="27" customWidth="1"/>
    <col min="3" max="3" width="24.7109375" style="27" customWidth="1"/>
    <col min="4" max="4" width="19.28515625" style="27" customWidth="1"/>
    <col min="5" max="5" width="21.42578125" style="27" customWidth="1"/>
    <col min="6" max="6" width="14.28515625" style="27" customWidth="1"/>
    <col min="7" max="7" width="11.5703125" style="27"/>
    <col min="8" max="8" width="33.7109375" style="13" customWidth="1"/>
    <col min="9" max="9" width="32.7109375" style="13" customWidth="1"/>
    <col min="10" max="10" width="30.28515625" style="13" customWidth="1"/>
    <col min="11" max="11" width="30.42578125" style="13" customWidth="1"/>
    <col min="12" max="12" width="21" style="13" customWidth="1"/>
    <col min="13" max="13" width="11.5703125" style="13"/>
    <col min="14" max="14" width="39.5703125" style="13" customWidth="1"/>
    <col min="15" max="15" width="19.42578125" style="13" customWidth="1"/>
    <col min="16" max="16" width="31.85546875" style="13" customWidth="1"/>
    <col min="17" max="17" width="18.42578125" style="13" customWidth="1"/>
    <col min="18" max="18" width="13" style="13" customWidth="1"/>
    <col min="19" max="66" width="11.5703125" style="13"/>
    <col min="67" max="16384" width="11.5703125" style="27"/>
  </cols>
  <sheetData>
    <row r="1" spans="1:12" x14ac:dyDescent="0.25">
      <c r="A1" s="296" t="s">
        <v>1277</v>
      </c>
      <c r="B1" s="228" t="s">
        <v>1278</v>
      </c>
      <c r="C1" s="223"/>
      <c r="D1" s="223"/>
      <c r="E1" s="223"/>
      <c r="F1" s="224"/>
      <c r="G1" s="13"/>
    </row>
    <row r="2" spans="1:12" ht="15.75" thickBot="1" x14ac:dyDescent="0.3">
      <c r="A2" s="297" t="s">
        <v>1279</v>
      </c>
      <c r="B2" s="29"/>
      <c r="F2" s="225"/>
      <c r="G2" s="13"/>
    </row>
    <row r="3" spans="1:12" ht="16.5" thickTop="1" thickBot="1" x14ac:dyDescent="0.3">
      <c r="A3" s="298" t="s">
        <v>1280</v>
      </c>
      <c r="B3" s="30"/>
      <c r="D3" s="423" t="s">
        <v>1281</v>
      </c>
      <c r="E3" s="424"/>
      <c r="F3" s="225"/>
      <c r="G3" s="13"/>
    </row>
    <row r="4" spans="1:12" ht="15.75" thickTop="1" x14ac:dyDescent="0.25">
      <c r="A4" s="299" t="s">
        <v>1282</v>
      </c>
      <c r="B4" s="31" t="s">
        <v>1283</v>
      </c>
      <c r="D4" s="13"/>
      <c r="E4" s="13"/>
      <c r="F4" s="257"/>
      <c r="G4" s="13"/>
    </row>
    <row r="5" spans="1:12" ht="15.75" thickBot="1" x14ac:dyDescent="0.3">
      <c r="A5" s="300" t="s">
        <v>1284</v>
      </c>
      <c r="B5" s="32"/>
      <c r="D5" s="13"/>
      <c r="E5" s="13"/>
      <c r="F5" s="257"/>
      <c r="G5" s="13"/>
      <c r="J5" s="27"/>
    </row>
    <row r="6" spans="1:12" x14ac:dyDescent="0.25">
      <c r="A6" s="26"/>
      <c r="D6" s="13"/>
      <c r="E6" s="13"/>
      <c r="F6" s="257"/>
      <c r="G6" s="13"/>
      <c r="J6" s="27"/>
    </row>
    <row r="7" spans="1:12" x14ac:dyDescent="0.25">
      <c r="A7" s="26"/>
      <c r="F7" s="225"/>
      <c r="G7" s="13"/>
      <c r="J7" s="27"/>
    </row>
    <row r="8" spans="1:12" ht="15.75" thickBot="1" x14ac:dyDescent="0.3">
      <c r="A8" s="26"/>
      <c r="F8" s="226"/>
      <c r="G8" s="13"/>
      <c r="I8" s="27"/>
      <c r="J8" s="27"/>
    </row>
    <row r="9" spans="1:12" ht="16.5" thickTop="1" thickBot="1" x14ac:dyDescent="0.3">
      <c r="A9" s="26"/>
      <c r="B9" s="240">
        <f ca="1">TODAY()</f>
        <v>46191</v>
      </c>
      <c r="C9" s="154" t="s">
        <v>1285</v>
      </c>
      <c r="D9" s="420" t="s">
        <v>1286</v>
      </c>
      <c r="E9" s="421"/>
      <c r="F9" s="422"/>
      <c r="G9" s="13"/>
      <c r="H9" s="265" t="s">
        <v>1287</v>
      </c>
      <c r="I9" s="266" t="str">
        <f>VLOOKUP($H$10,FORMULAS!A$1:AG$3,2,FALSE)</f>
        <v>Fecha</v>
      </c>
      <c r="J9" s="411" t="s">
        <v>1286</v>
      </c>
      <c r="K9" s="412"/>
      <c r="L9" s="413"/>
    </row>
    <row r="10" spans="1:12" ht="15.75" thickBot="1" x14ac:dyDescent="0.3">
      <c r="A10" s="14" t="s">
        <v>1288</v>
      </c>
      <c r="B10" s="258" t="s">
        <v>1289</v>
      </c>
      <c r="C10" s="244">
        <v>100</v>
      </c>
      <c r="D10" s="259" t="s">
        <v>1290</v>
      </c>
      <c r="E10" s="260" t="s">
        <v>1291</v>
      </c>
      <c r="F10" s="261" t="s">
        <v>1292</v>
      </c>
      <c r="G10" s="13"/>
      <c r="H10" s="256" t="s">
        <v>1293</v>
      </c>
      <c r="I10" s="267" t="s">
        <v>1289</v>
      </c>
      <c r="J10" s="268" t="s">
        <v>1290</v>
      </c>
      <c r="K10" s="269" t="s">
        <v>1291</v>
      </c>
      <c r="L10" s="270" t="s">
        <v>1292</v>
      </c>
    </row>
    <row r="11" spans="1:12" ht="15.75" thickBot="1" x14ac:dyDescent="0.3">
      <c r="A11" s="15" t="s">
        <v>11</v>
      </c>
      <c r="B11" s="304">
        <f>(1-(SUM(B14:B19)))*D11</f>
        <v>0.75</v>
      </c>
      <c r="C11" s="341">
        <f>B11*$C$10</f>
        <v>75</v>
      </c>
      <c r="D11" s="241">
        <v>1</v>
      </c>
      <c r="E11" s="425"/>
      <c r="F11" s="426"/>
      <c r="G11" s="13"/>
      <c r="H11" s="248" t="str">
        <f>VLOOKUP($H$10,FORMULAS!A$1:AG$3,3,FALSE)</f>
        <v>Disolvente A</v>
      </c>
      <c r="I11" s="271" t="str">
        <f>VLOOKUP($H$10,FORMULAS!A$1:AG$3,4,FALSE)</f>
        <v>Porcentaje Disolvente A</v>
      </c>
      <c r="J11" s="272" t="str">
        <f>VLOOKUP($H$10,FORMULAS!A$1:AG$3,5,FALSE)</f>
        <v>Ratio Disolvente A</v>
      </c>
      <c r="K11" s="435"/>
      <c r="L11" s="436"/>
    </row>
    <row r="12" spans="1:12" ht="15.75" thickBot="1" x14ac:dyDescent="0.3">
      <c r="A12" s="16"/>
      <c r="B12" s="305">
        <f>(1-(SUM(B14:B19)))*D12</f>
        <v>0</v>
      </c>
      <c r="C12" s="342">
        <f t="shared" ref="C12:C19" si="0">B12*$C$10</f>
        <v>0</v>
      </c>
      <c r="D12" s="242"/>
      <c r="E12" s="427"/>
      <c r="F12" s="428"/>
      <c r="G12" s="13"/>
      <c r="H12" s="247" t="str">
        <f>VLOOKUP($H$10,FORMULAS!A$1:AG$3,6,FALSE)</f>
        <v>Disolvente B</v>
      </c>
      <c r="I12" s="273" t="str">
        <f>VLOOKUP($H$10,FORMULAS!A$1:AG$3,7,FALSE)</f>
        <v>Porcentaje Disolvente B</v>
      </c>
      <c r="J12" s="272" t="str">
        <f>VLOOKUP($H$10,FORMULAS!A$1:AG$3,8,FALSE)</f>
        <v>Ratio Disolvente B</v>
      </c>
      <c r="K12" s="437"/>
      <c r="L12" s="438"/>
    </row>
    <row r="13" spans="1:12" ht="15.75" thickBot="1" x14ac:dyDescent="0.3">
      <c r="A13" s="245"/>
      <c r="B13" s="306">
        <f>(1-(SUM(B14:B19)))*D13</f>
        <v>0</v>
      </c>
      <c r="C13" s="343">
        <f t="shared" si="0"/>
        <v>0</v>
      </c>
      <c r="D13" s="243"/>
      <c r="E13" s="429"/>
      <c r="F13" s="430"/>
      <c r="G13" s="13"/>
      <c r="H13" s="251" t="str">
        <f>VLOOKUP($H$10,FORMULAS!A$1:AG$3,9,FALSE)</f>
        <v>Disolvente C</v>
      </c>
      <c r="I13" s="274" t="str">
        <f>VLOOKUP($H$10,FORMULAS!A$1:AG$3,10,FALSE)</f>
        <v>Porcentaje Disolvente C</v>
      </c>
      <c r="J13" s="272" t="str">
        <f>VLOOKUP($H$10,FORMULAS!A$1:AG$3,11,FALSE)</f>
        <v>Ratio Disolvente C</v>
      </c>
      <c r="K13" s="439"/>
      <c r="L13" s="440"/>
    </row>
    <row r="14" spans="1:12" x14ac:dyDescent="0.25">
      <c r="A14" s="18" t="s">
        <v>8</v>
      </c>
      <c r="B14" s="307">
        <v>0.25</v>
      </c>
      <c r="C14" s="344">
        <f t="shared" si="0"/>
        <v>25</v>
      </c>
      <c r="D14" s="326"/>
      <c r="E14" s="338">
        <f>B14/(B16+B15+B14)</f>
        <v>1</v>
      </c>
      <c r="F14" s="335">
        <f>B14/(SUM(B14:B19))</f>
        <v>1</v>
      </c>
      <c r="G14" s="13"/>
      <c r="H14" s="250" t="str">
        <f>VLOOKUP($H$10,FORMULAS!A$1:AG$3,12,FALSE)</f>
        <v>Polimero A</v>
      </c>
      <c r="I14" s="271" t="str">
        <f>VLOOKUP($H$10,FORMULAS!A$1:AG$3,13,FALSE)</f>
        <v>Porcentaje Polimero A</v>
      </c>
      <c r="J14" s="436"/>
      <c r="K14" s="275" t="e">
        <f>I14/(I16+I15+I14)</f>
        <v>#VALUE!</v>
      </c>
      <c r="L14" s="276" t="e">
        <f>I14/(SUM(I14:I19))</f>
        <v>#VALUE!</v>
      </c>
    </row>
    <row r="15" spans="1:12" x14ac:dyDescent="0.25">
      <c r="A15" s="18"/>
      <c r="B15" s="308"/>
      <c r="C15" s="345">
        <f t="shared" si="0"/>
        <v>0</v>
      </c>
      <c r="D15" s="327"/>
      <c r="E15" s="339">
        <f>B15/(B16+B15+B14)</f>
        <v>0</v>
      </c>
      <c r="F15" s="335">
        <f>B15/(SUM(B14:B19))</f>
        <v>0</v>
      </c>
      <c r="G15" s="13"/>
      <c r="H15" s="247" t="str">
        <f>VLOOKUP($H$10,FORMULAS!A$1:AG$3,16,FALSE)</f>
        <v>Polimero B</v>
      </c>
      <c r="I15" s="273" t="str">
        <f>VLOOKUP($H$10,FORMULAS!A$1:AG$3,17,FALSE)</f>
        <v>Porcentaje Polimero B</v>
      </c>
      <c r="J15" s="438"/>
      <c r="K15" s="277" t="e">
        <f>I15/(I16+I15+I14)</f>
        <v>#VALUE!</v>
      </c>
      <c r="L15" s="278" t="e">
        <f>I15/(SUM(I14:I19))</f>
        <v>#VALUE!</v>
      </c>
    </row>
    <row r="16" spans="1:12" ht="15.75" thickBot="1" x14ac:dyDescent="0.3">
      <c r="A16" s="19"/>
      <c r="B16" s="309"/>
      <c r="C16" s="346">
        <f t="shared" si="0"/>
        <v>0</v>
      </c>
      <c r="D16" s="328"/>
      <c r="E16" s="340">
        <f>B16/(B16+B15+B14)</f>
        <v>0</v>
      </c>
      <c r="F16" s="336">
        <f>B16/(SUM(B14:B19))</f>
        <v>0</v>
      </c>
      <c r="G16" s="13"/>
      <c r="H16" s="249" t="str">
        <f>VLOOKUP($H$10,FORMULAS!A$1:AG$3,20,FALSE)</f>
        <v>Polimero C</v>
      </c>
      <c r="I16" s="274" t="str">
        <f>VLOOKUP($H$10,FORMULAS!A$1:AG$3,21,FALSE)</f>
        <v>Porcentaje Polimero C</v>
      </c>
      <c r="J16" s="440"/>
      <c r="K16" s="279" t="e">
        <f>I16/(I16+I15+I14)</f>
        <v>#VALUE!</v>
      </c>
      <c r="L16" s="280" t="e">
        <f>I16/(SUM(I14:I19))</f>
        <v>#VALUE!</v>
      </c>
    </row>
    <row r="17" spans="1:13" x14ac:dyDescent="0.25">
      <c r="A17" s="17"/>
      <c r="B17" s="310"/>
      <c r="C17" s="347">
        <f t="shared" si="0"/>
        <v>0</v>
      </c>
      <c r="D17" s="431"/>
      <c r="E17" s="432"/>
      <c r="F17" s="335">
        <f>B17/(SUM(B14:B19))</f>
        <v>0</v>
      </c>
      <c r="G17" s="13"/>
      <c r="H17" s="248" t="str">
        <f>VLOOKUP($H$10,FORMULAS!A$1:AG$3,24,FALSE)</f>
        <v>Aditivo A/ API</v>
      </c>
      <c r="I17" s="281" t="str">
        <f>VLOOKUP($H$10,FORMULAS!A$1:AG$3,25,FALSE)</f>
        <v>Porcentaje Aditivo A/ API</v>
      </c>
      <c r="J17" s="282"/>
      <c r="K17" s="283"/>
      <c r="L17" s="278" t="e">
        <f>I17/(SUM(I14:I19))</f>
        <v>#VALUE!</v>
      </c>
    </row>
    <row r="18" spans="1:13" x14ac:dyDescent="0.25">
      <c r="A18" s="20"/>
      <c r="B18" s="311"/>
      <c r="C18" s="345">
        <f t="shared" si="0"/>
        <v>0</v>
      </c>
      <c r="D18" s="431"/>
      <c r="E18" s="432"/>
      <c r="F18" s="335">
        <f>B18/(SUM(B14:B19))</f>
        <v>0</v>
      </c>
      <c r="G18" s="13"/>
      <c r="H18" s="247" t="str">
        <f>VLOOKUP($H$10,FORMULAS!A$1:AG$3,27,FALSE)</f>
        <v>Aditivo B /API</v>
      </c>
      <c r="I18" s="273" t="str">
        <f>VLOOKUP($H$10,FORMULAS!A$1:AG$3,28,FALSE)</f>
        <v>Porcentaje Aditivo B /API</v>
      </c>
      <c r="J18" s="282"/>
      <c r="K18" s="284"/>
      <c r="L18" s="278" t="e">
        <f>I18/(SUM(I14:I19))</f>
        <v>#VALUE!</v>
      </c>
    </row>
    <row r="19" spans="1:13" ht="15.75" thickBot="1" x14ac:dyDescent="0.3">
      <c r="A19" s="21"/>
      <c r="B19" s="312"/>
      <c r="C19" s="346">
        <f t="shared" si="0"/>
        <v>0</v>
      </c>
      <c r="D19" s="433"/>
      <c r="E19" s="434"/>
      <c r="F19" s="337">
        <f>B19/(SUM(B14:B19))</f>
        <v>0</v>
      </c>
      <c r="G19" s="13"/>
      <c r="H19" s="246" t="str">
        <f>VLOOKUP($H$10,FORMULAS!A$1:AG$3,30,FALSE)</f>
        <v>Aditivo C /API</v>
      </c>
      <c r="I19" s="285" t="str">
        <f>VLOOKUP($H$10,FORMULAS!A$1:AG$3,31,FALSE)</f>
        <v>Porcentaje Aditivo C /API</v>
      </c>
      <c r="J19" s="286"/>
      <c r="K19" s="287"/>
      <c r="L19" s="288" t="e">
        <f>I19/(SUM(I14:I19))</f>
        <v>#VALUE!</v>
      </c>
    </row>
    <row r="20" spans="1:13" ht="16.5" thickTop="1" thickBot="1" x14ac:dyDescent="0.3">
      <c r="A20" s="262" t="s">
        <v>1294</v>
      </c>
      <c r="B20" s="263">
        <f>SUM(B11:B19)</f>
        <v>1</v>
      </c>
      <c r="C20" s="264">
        <f>SUM(C11:C19)</f>
        <v>100</v>
      </c>
      <c r="D20" s="348">
        <f>SUM(B11:B13)/B20</f>
        <v>0.75</v>
      </c>
      <c r="E20" s="348">
        <f>SUM(B14:B16)/B20</f>
        <v>0.25</v>
      </c>
      <c r="F20" s="349">
        <f>(SUM(B14:B19))/B20</f>
        <v>0.25</v>
      </c>
      <c r="G20" s="13"/>
      <c r="H20" s="289" t="s">
        <v>1294</v>
      </c>
      <c r="I20" s="290">
        <f>SUM(I11:I19)</f>
        <v>0</v>
      </c>
      <c r="J20" s="291" t="e">
        <f>SUM(I11:I13)/I20</f>
        <v>#DIV/0!</v>
      </c>
      <c r="K20" s="291" t="e">
        <f>SUM(I14:I16)/I20</f>
        <v>#DIV/0!</v>
      </c>
      <c r="L20" s="292" t="e">
        <f>(SUM(I14:I19))/I20</f>
        <v>#DIV/0!</v>
      </c>
    </row>
    <row r="21" spans="1:13" x14ac:dyDescent="0.25">
      <c r="A21" s="301" t="s">
        <v>1295</v>
      </c>
      <c r="B21" s="414" t="s">
        <v>1296</v>
      </c>
      <c r="C21" s="414"/>
      <c r="D21" s="414"/>
      <c r="E21" s="414"/>
      <c r="F21" s="415"/>
      <c r="G21" s="13"/>
      <c r="H21" s="293" t="s">
        <v>1295</v>
      </c>
      <c r="I21" s="441" t="str">
        <f>VLOOKUP($H$10,FORMULAS!A$1:AG$3,33,FALSE)</f>
        <v>Comentarios</v>
      </c>
      <c r="J21" s="441"/>
      <c r="K21" s="441"/>
      <c r="L21" s="442"/>
    </row>
    <row r="22" spans="1:13" x14ac:dyDescent="0.25">
      <c r="A22" s="302"/>
      <c r="B22" s="416"/>
      <c r="C22" s="416"/>
      <c r="D22" s="416"/>
      <c r="E22" s="416"/>
      <c r="F22" s="417"/>
      <c r="G22" s="13"/>
      <c r="H22" s="294"/>
      <c r="I22" s="443"/>
      <c r="J22" s="443"/>
      <c r="K22" s="443"/>
      <c r="L22" s="444"/>
    </row>
    <row r="23" spans="1:13" x14ac:dyDescent="0.25">
      <c r="A23" s="302"/>
      <c r="B23" s="416"/>
      <c r="C23" s="416"/>
      <c r="D23" s="416"/>
      <c r="E23" s="416"/>
      <c r="F23" s="417"/>
      <c r="G23" s="13"/>
      <c r="H23" s="294"/>
      <c r="I23" s="443"/>
      <c r="J23" s="443"/>
      <c r="K23" s="443"/>
      <c r="L23" s="444"/>
    </row>
    <row r="24" spans="1:13" ht="15.75" thickBot="1" x14ac:dyDescent="0.3">
      <c r="A24" s="303"/>
      <c r="B24" s="418"/>
      <c r="C24" s="418"/>
      <c r="D24" s="418"/>
      <c r="E24" s="418"/>
      <c r="F24" s="419"/>
      <c r="G24" s="13"/>
      <c r="H24" s="295"/>
      <c r="I24" s="445"/>
      <c r="J24" s="445"/>
      <c r="K24" s="445"/>
      <c r="L24" s="446"/>
    </row>
    <row r="25" spans="1:13" ht="25.9" customHeight="1" thickBot="1" x14ac:dyDescent="0.3">
      <c r="A25" s="13"/>
      <c r="B25" s="13"/>
      <c r="C25" s="13"/>
      <c r="D25" s="13"/>
      <c r="E25" s="13"/>
      <c r="F25" s="13"/>
      <c r="G25" s="13"/>
      <c r="H25" s="329" t="s">
        <v>1297</v>
      </c>
      <c r="I25" s="330" t="s">
        <v>1298</v>
      </c>
      <c r="J25" s="331" t="s">
        <v>1299</v>
      </c>
      <c r="K25" s="330" t="s">
        <v>1300</v>
      </c>
      <c r="L25" s="331" t="s">
        <v>1301</v>
      </c>
      <c r="M25" s="330" t="s">
        <v>1302</v>
      </c>
    </row>
    <row r="26" spans="1:13" ht="15.75" thickBot="1" x14ac:dyDescent="0.3">
      <c r="A26" s="13"/>
      <c r="B26" s="13"/>
      <c r="C26" s="13"/>
      <c r="D26" s="13"/>
      <c r="E26" s="13"/>
      <c r="F26" s="13"/>
      <c r="G26" s="13"/>
      <c r="H26" s="332" t="str">
        <f>VLOOKUP($H$10,FORMULAS!A$1:AN$30,35,FALSE)</f>
        <v>Viscosidad (cP)</v>
      </c>
      <c r="I26" s="333" t="str">
        <f>VLOOKUP($H$10,FORMULAS!A$1:AN$30,36,FALSE)</f>
        <v>Tensión superficial (mN/m)</v>
      </c>
      <c r="J26" s="334" t="str">
        <f>VLOOKUP($H$10,FORMULAS!A$1:AN$30,37,FALSE)</f>
        <v>Conductividad (µS/cm)</v>
      </c>
      <c r="K26" s="333" t="str">
        <f>VLOOKUP($H$10,FORMULAS!A$1:AN$30,38,FALSE)</f>
        <v>Contenido en sólidos (%)</v>
      </c>
      <c r="L26" s="334" t="str">
        <f>VLOOKUP($H$10,FORMULAS!A$1:AN$30,39,FALSE)</f>
        <v>Densidad (Kg/l)</v>
      </c>
      <c r="M26" s="333" t="str">
        <f>VLOOKUP($H$10,FORMULAS!A$1:AN$30,40,FALSE)</f>
        <v>PH</v>
      </c>
    </row>
    <row r="27" spans="1:13" x14ac:dyDescent="0.25">
      <c r="A27" s="13"/>
      <c r="B27" s="13"/>
      <c r="C27" s="13"/>
      <c r="D27" s="13"/>
      <c r="E27" s="13"/>
      <c r="F27" s="13"/>
      <c r="G27" s="13"/>
    </row>
    <row r="28" spans="1:13" x14ac:dyDescent="0.25">
      <c r="A28" s="13"/>
      <c r="B28" s="13"/>
      <c r="C28" s="13"/>
      <c r="D28" s="13"/>
      <c r="E28" s="13"/>
      <c r="F28" s="13"/>
      <c r="G28" s="13"/>
    </row>
    <row r="29" spans="1:13" x14ac:dyDescent="0.25">
      <c r="A29" s="13"/>
      <c r="B29" s="13"/>
      <c r="C29" s="13"/>
      <c r="D29" s="13"/>
      <c r="E29" s="13"/>
      <c r="F29" s="13"/>
      <c r="G29" s="13"/>
    </row>
    <row r="30" spans="1:13" x14ac:dyDescent="0.25">
      <c r="A30" s="13"/>
      <c r="B30" s="13"/>
      <c r="C30" s="13"/>
      <c r="D30" s="13"/>
      <c r="E30" s="13"/>
      <c r="F30" s="13"/>
      <c r="G30" s="13"/>
    </row>
    <row r="31" spans="1:13" x14ac:dyDescent="0.25">
      <c r="A31" s="13"/>
      <c r="B31" s="13"/>
      <c r="C31" s="13"/>
      <c r="D31" s="13"/>
      <c r="E31" s="13"/>
      <c r="F31" s="13"/>
      <c r="G31" s="13"/>
    </row>
    <row r="32" spans="1:13" x14ac:dyDescent="0.25">
      <c r="A32" s="13"/>
      <c r="B32" s="13"/>
      <c r="C32" s="13"/>
      <c r="D32" s="13"/>
      <c r="E32" s="13"/>
      <c r="F32" s="13"/>
      <c r="G32" s="13"/>
    </row>
    <row r="33" spans="1:7" x14ac:dyDescent="0.25">
      <c r="A33" s="13"/>
      <c r="B33" s="13"/>
      <c r="C33" s="13"/>
      <c r="D33" s="13"/>
      <c r="E33" s="13"/>
      <c r="F33" s="13"/>
      <c r="G33" s="13"/>
    </row>
    <row r="34" spans="1:7" x14ac:dyDescent="0.25">
      <c r="A34" s="13"/>
      <c r="B34" s="13"/>
      <c r="C34" s="13"/>
      <c r="D34" s="13"/>
      <c r="E34" s="13"/>
      <c r="F34" s="13"/>
      <c r="G34" s="13"/>
    </row>
    <row r="35" spans="1:7" x14ac:dyDescent="0.25">
      <c r="A35" s="13"/>
      <c r="B35" s="13"/>
      <c r="C35" s="13"/>
      <c r="D35" s="13"/>
      <c r="E35" s="13"/>
      <c r="F35" s="13"/>
      <c r="G35" s="13"/>
    </row>
    <row r="36" spans="1:7" x14ac:dyDescent="0.25">
      <c r="A36" s="13"/>
      <c r="B36" s="13"/>
      <c r="C36" s="13"/>
      <c r="D36" s="13"/>
      <c r="E36" s="13"/>
      <c r="F36" s="13"/>
      <c r="G36" s="13"/>
    </row>
    <row r="37" spans="1:7" x14ac:dyDescent="0.25">
      <c r="A37" s="13"/>
      <c r="B37" s="13"/>
      <c r="C37" s="13"/>
      <c r="D37" s="13"/>
      <c r="E37" s="13"/>
      <c r="F37" s="13"/>
      <c r="G37" s="13"/>
    </row>
    <row r="38" spans="1:7" ht="14.45" customHeight="1" x14ac:dyDescent="0.25">
      <c r="A38" s="13"/>
      <c r="B38" s="13"/>
      <c r="C38" s="13"/>
      <c r="D38" s="13"/>
      <c r="E38" s="13"/>
      <c r="F38" s="13"/>
      <c r="G38" s="13"/>
    </row>
    <row r="39" spans="1:7" ht="14.45" customHeight="1" x14ac:dyDescent="0.25">
      <c r="A39" s="13"/>
      <c r="B39" s="13"/>
      <c r="C39" s="13"/>
      <c r="D39" s="13"/>
      <c r="E39" s="13"/>
      <c r="F39" s="13"/>
      <c r="G39" s="13"/>
    </row>
    <row r="40" spans="1:7" ht="14.45" customHeight="1" x14ac:dyDescent="0.25">
      <c r="A40" s="13"/>
      <c r="B40" s="13"/>
      <c r="C40" s="13"/>
      <c r="D40" s="13"/>
      <c r="E40" s="13"/>
      <c r="F40" s="13"/>
      <c r="G40" s="13"/>
    </row>
    <row r="41" spans="1:7" ht="14.45" customHeight="1" x14ac:dyDescent="0.25">
      <c r="A41" s="13"/>
      <c r="B41" s="13"/>
      <c r="C41" s="13"/>
      <c r="D41" s="13"/>
      <c r="E41" s="13"/>
      <c r="F41" s="13"/>
      <c r="G41" s="13"/>
    </row>
    <row r="42" spans="1:7" ht="15" customHeight="1" x14ac:dyDescent="0.25">
      <c r="A42" s="13"/>
      <c r="B42" s="13"/>
      <c r="C42" s="13"/>
      <c r="D42" s="13"/>
      <c r="E42" s="13"/>
      <c r="F42" s="13"/>
      <c r="G42" s="13"/>
    </row>
    <row r="43" spans="1:7" x14ac:dyDescent="0.25">
      <c r="A43" s="13"/>
      <c r="B43" s="13"/>
      <c r="C43" s="13"/>
      <c r="D43" s="13"/>
      <c r="E43" s="13"/>
      <c r="F43" s="13"/>
      <c r="G43" s="13"/>
    </row>
    <row r="44" spans="1:7" x14ac:dyDescent="0.25">
      <c r="A44" s="13"/>
      <c r="B44" s="13"/>
      <c r="C44" s="13"/>
      <c r="D44" s="13"/>
      <c r="E44" s="13"/>
      <c r="F44" s="13"/>
      <c r="G44" s="13"/>
    </row>
    <row r="45" spans="1:7" x14ac:dyDescent="0.25">
      <c r="A45" s="13"/>
      <c r="B45" s="13"/>
      <c r="C45" s="13"/>
      <c r="D45" s="13"/>
      <c r="E45" s="13"/>
      <c r="F45" s="13"/>
      <c r="G45" s="13"/>
    </row>
    <row r="46" spans="1:7" x14ac:dyDescent="0.25">
      <c r="A46" s="13"/>
      <c r="B46" s="13"/>
      <c r="C46" s="13"/>
      <c r="D46" s="13"/>
      <c r="E46" s="13"/>
      <c r="F46" s="13"/>
      <c r="G46" s="13"/>
    </row>
    <row r="47" spans="1:7" x14ac:dyDescent="0.25">
      <c r="A47" s="13"/>
      <c r="B47" s="13"/>
      <c r="C47" s="13"/>
      <c r="D47" s="13"/>
      <c r="E47" s="13"/>
      <c r="F47" s="13"/>
      <c r="G47" s="13"/>
    </row>
    <row r="48" spans="1:7" x14ac:dyDescent="0.25">
      <c r="A48" s="13"/>
      <c r="B48" s="13"/>
      <c r="C48" s="13"/>
      <c r="D48" s="13"/>
      <c r="E48" s="13"/>
      <c r="F48" s="13"/>
      <c r="G48" s="13"/>
    </row>
    <row r="49" spans="1:7" x14ac:dyDescent="0.25">
      <c r="A49" s="13"/>
      <c r="B49" s="13"/>
      <c r="C49" s="13"/>
      <c r="D49" s="13"/>
      <c r="E49" s="13"/>
      <c r="F49" s="13"/>
      <c r="G49" s="13"/>
    </row>
    <row r="50" spans="1:7" x14ac:dyDescent="0.25">
      <c r="A50" s="13"/>
      <c r="B50" s="13"/>
      <c r="C50" s="13"/>
      <c r="D50" s="13"/>
      <c r="E50" s="13"/>
      <c r="F50" s="13"/>
      <c r="G50" s="13"/>
    </row>
    <row r="51" spans="1:7" ht="15.6" customHeight="1" x14ac:dyDescent="0.25">
      <c r="A51" s="13"/>
      <c r="B51" s="13"/>
      <c r="C51" s="13"/>
      <c r="D51" s="13"/>
      <c r="E51" s="13"/>
      <c r="F51" s="13"/>
      <c r="G51" s="13"/>
    </row>
    <row r="52" spans="1:7" ht="14.45" customHeight="1" x14ac:dyDescent="0.25">
      <c r="A52" s="13"/>
      <c r="B52" s="13"/>
      <c r="C52" s="13"/>
      <c r="D52" s="13"/>
      <c r="E52" s="13"/>
      <c r="F52" s="13"/>
      <c r="G52" s="13"/>
    </row>
    <row r="53" spans="1:7" ht="14.45" customHeight="1" x14ac:dyDescent="0.25">
      <c r="A53" s="13"/>
      <c r="B53" s="13"/>
      <c r="C53" s="13"/>
      <c r="D53" s="13"/>
      <c r="E53" s="13"/>
      <c r="F53" s="13"/>
      <c r="G53" s="13"/>
    </row>
    <row r="54" spans="1:7" ht="14.45" customHeight="1" x14ac:dyDescent="0.25">
      <c r="A54" s="13"/>
      <c r="B54" s="13"/>
      <c r="C54" s="13"/>
      <c r="D54" s="13"/>
      <c r="E54" s="13"/>
      <c r="F54" s="13"/>
      <c r="G54" s="13"/>
    </row>
    <row r="55" spans="1:7" ht="15" customHeight="1" x14ac:dyDescent="0.25">
      <c r="A55" s="13"/>
      <c r="B55" s="13"/>
      <c r="C55" s="13"/>
      <c r="D55" s="13"/>
      <c r="E55" s="13"/>
      <c r="F55" s="13"/>
      <c r="G55" s="13"/>
    </row>
    <row r="56" spans="1:7" x14ac:dyDescent="0.25">
      <c r="A56" s="13"/>
      <c r="B56" s="13"/>
      <c r="C56" s="13"/>
      <c r="D56" s="13"/>
      <c r="E56" s="13"/>
      <c r="F56" s="13"/>
      <c r="G56" s="13"/>
    </row>
    <row r="57" spans="1:7" x14ac:dyDescent="0.25">
      <c r="A57" s="13"/>
      <c r="B57" s="13"/>
      <c r="C57" s="13"/>
      <c r="D57" s="13"/>
      <c r="E57" s="13"/>
      <c r="F57" s="13"/>
      <c r="G57" s="13"/>
    </row>
    <row r="58" spans="1:7" x14ac:dyDescent="0.25">
      <c r="A58" s="13"/>
      <c r="B58" s="13"/>
      <c r="C58" s="13"/>
      <c r="D58" s="13"/>
      <c r="E58" s="13"/>
      <c r="F58" s="13"/>
      <c r="G58" s="13"/>
    </row>
    <row r="59" spans="1:7" x14ac:dyDescent="0.25">
      <c r="A59" s="13"/>
      <c r="B59" s="13"/>
      <c r="C59" s="13"/>
      <c r="D59" s="13"/>
      <c r="E59" s="13"/>
      <c r="F59" s="13"/>
      <c r="G59" s="13"/>
    </row>
    <row r="60" spans="1:7" x14ac:dyDescent="0.25">
      <c r="A60" s="13"/>
      <c r="B60" s="13"/>
      <c r="C60" s="13"/>
      <c r="D60" s="13"/>
      <c r="E60" s="13"/>
      <c r="F60" s="13"/>
      <c r="G60" s="13"/>
    </row>
    <row r="61" spans="1:7" x14ac:dyDescent="0.25">
      <c r="A61" s="13"/>
      <c r="B61" s="13"/>
      <c r="C61" s="13"/>
      <c r="D61" s="13"/>
      <c r="E61" s="13"/>
      <c r="F61" s="13"/>
      <c r="G61" s="13"/>
    </row>
    <row r="62" spans="1:7" x14ac:dyDescent="0.25">
      <c r="A62" s="13"/>
      <c r="B62" s="13"/>
      <c r="C62" s="13"/>
      <c r="D62" s="13"/>
      <c r="E62" s="13"/>
      <c r="F62" s="13"/>
      <c r="G62" s="13"/>
    </row>
    <row r="63" spans="1:7" x14ac:dyDescent="0.25">
      <c r="A63" s="13"/>
      <c r="B63" s="13"/>
      <c r="C63" s="13"/>
      <c r="D63" s="13"/>
      <c r="E63" s="13"/>
      <c r="F63" s="13"/>
      <c r="G63" s="13"/>
    </row>
    <row r="64" spans="1:7" x14ac:dyDescent="0.25">
      <c r="A64" s="13"/>
      <c r="B64" s="13"/>
      <c r="C64" s="13"/>
      <c r="D64" s="13"/>
      <c r="E64" s="13"/>
      <c r="F64" s="13"/>
      <c r="G64" s="13"/>
    </row>
    <row r="65" spans="1:7" x14ac:dyDescent="0.25">
      <c r="A65" s="13"/>
      <c r="B65" s="13"/>
      <c r="C65" s="13"/>
      <c r="D65" s="13"/>
      <c r="E65" s="13"/>
      <c r="F65" s="13"/>
      <c r="G65" s="13"/>
    </row>
    <row r="66" spans="1:7" x14ac:dyDescent="0.25">
      <c r="A66" s="13"/>
      <c r="B66" s="13"/>
      <c r="C66" s="13"/>
      <c r="D66" s="13"/>
      <c r="E66" s="13"/>
      <c r="F66" s="13"/>
      <c r="G66" s="13"/>
    </row>
    <row r="67" spans="1:7" x14ac:dyDescent="0.25">
      <c r="A67" s="13"/>
      <c r="B67" s="13"/>
      <c r="C67" s="13"/>
      <c r="D67" s="13"/>
      <c r="E67" s="13"/>
      <c r="F67" s="13"/>
      <c r="G67" s="13"/>
    </row>
    <row r="68" spans="1:7" x14ac:dyDescent="0.25">
      <c r="A68" s="13"/>
      <c r="B68" s="13"/>
      <c r="C68" s="13"/>
      <c r="D68" s="13"/>
      <c r="E68" s="13"/>
      <c r="F68" s="13"/>
      <c r="G68" s="13"/>
    </row>
    <row r="69" spans="1:7" x14ac:dyDescent="0.25">
      <c r="A69" s="13"/>
      <c r="B69" s="13"/>
      <c r="C69" s="13"/>
      <c r="D69" s="13"/>
      <c r="E69" s="13"/>
      <c r="F69" s="13"/>
      <c r="G69" s="13"/>
    </row>
    <row r="70" spans="1:7" x14ac:dyDescent="0.25">
      <c r="A70" s="13"/>
      <c r="B70" s="13"/>
      <c r="C70" s="13"/>
      <c r="D70" s="13"/>
      <c r="E70" s="13"/>
      <c r="F70" s="13"/>
      <c r="G70" s="13"/>
    </row>
    <row r="71" spans="1:7" x14ac:dyDescent="0.25">
      <c r="A71" s="13"/>
      <c r="B71" s="13"/>
      <c r="C71" s="13"/>
      <c r="D71" s="13"/>
      <c r="E71" s="13"/>
      <c r="F71" s="13"/>
      <c r="G71" s="13"/>
    </row>
    <row r="72" spans="1:7" x14ac:dyDescent="0.25">
      <c r="A72" s="13"/>
      <c r="B72" s="13"/>
      <c r="C72" s="13"/>
      <c r="D72" s="13"/>
      <c r="E72" s="13"/>
      <c r="F72" s="13"/>
      <c r="G72" s="13"/>
    </row>
    <row r="73" spans="1:7" x14ac:dyDescent="0.25">
      <c r="A73" s="13"/>
      <c r="B73" s="13"/>
      <c r="C73" s="13"/>
      <c r="D73" s="13"/>
      <c r="E73" s="13"/>
      <c r="F73" s="13"/>
      <c r="G73" s="13"/>
    </row>
    <row r="74" spans="1:7" x14ac:dyDescent="0.25">
      <c r="A74" s="13"/>
      <c r="B74" s="13"/>
      <c r="C74" s="13"/>
      <c r="D74" s="13"/>
      <c r="E74" s="13"/>
      <c r="F74" s="13"/>
      <c r="G74" s="13"/>
    </row>
    <row r="75" spans="1:7" x14ac:dyDescent="0.25">
      <c r="A75" s="13"/>
      <c r="B75" s="13"/>
      <c r="C75" s="13"/>
      <c r="D75" s="13"/>
      <c r="E75" s="13"/>
      <c r="F75" s="13"/>
      <c r="G75" s="13"/>
    </row>
    <row r="76" spans="1:7" x14ac:dyDescent="0.25">
      <c r="A76" s="13"/>
      <c r="B76" s="13"/>
      <c r="C76" s="13"/>
      <c r="D76" s="13"/>
      <c r="E76" s="13"/>
      <c r="F76" s="13"/>
      <c r="G76" s="13"/>
    </row>
    <row r="77" spans="1:7" x14ac:dyDescent="0.25">
      <c r="A77" s="13"/>
      <c r="B77" s="13"/>
      <c r="C77" s="13"/>
      <c r="D77" s="13"/>
      <c r="E77" s="13"/>
      <c r="F77" s="13"/>
      <c r="G77" s="13"/>
    </row>
    <row r="78" spans="1:7" x14ac:dyDescent="0.25">
      <c r="A78" s="13"/>
      <c r="B78" s="13"/>
      <c r="C78" s="13"/>
      <c r="D78" s="13"/>
      <c r="E78" s="13"/>
      <c r="F78" s="13"/>
      <c r="G78" s="13"/>
    </row>
    <row r="79" spans="1:7" x14ac:dyDescent="0.25">
      <c r="A79" s="13"/>
      <c r="B79" s="13"/>
      <c r="C79" s="13"/>
      <c r="D79" s="13"/>
      <c r="E79" s="13"/>
      <c r="F79" s="13"/>
      <c r="G79" s="13"/>
    </row>
    <row r="80" spans="1:7" x14ac:dyDescent="0.25">
      <c r="A80" s="13"/>
      <c r="B80" s="13"/>
      <c r="C80" s="13"/>
      <c r="D80" s="13"/>
      <c r="E80" s="13"/>
      <c r="F80" s="13"/>
      <c r="G80" s="13"/>
    </row>
    <row r="81" spans="1:7" x14ac:dyDescent="0.25">
      <c r="A81" s="13"/>
      <c r="B81" s="13"/>
      <c r="C81" s="13"/>
      <c r="D81" s="13"/>
      <c r="E81" s="13"/>
      <c r="F81" s="13"/>
      <c r="G81" s="13"/>
    </row>
    <row r="82" spans="1:7" x14ac:dyDescent="0.25">
      <c r="A82" s="13"/>
      <c r="B82" s="13"/>
      <c r="C82" s="13"/>
      <c r="D82" s="13"/>
      <c r="E82" s="13"/>
      <c r="F82" s="13"/>
      <c r="G82" s="13"/>
    </row>
    <row r="83" spans="1:7" x14ac:dyDescent="0.25">
      <c r="A83" s="13"/>
      <c r="B83" s="13"/>
      <c r="C83" s="13"/>
      <c r="D83" s="13"/>
      <c r="E83" s="13"/>
      <c r="F83" s="13"/>
      <c r="G83" s="13"/>
    </row>
    <row r="84" spans="1:7" x14ac:dyDescent="0.25">
      <c r="A84" s="13"/>
      <c r="B84" s="13"/>
      <c r="C84" s="13"/>
      <c r="D84" s="13"/>
      <c r="E84" s="13"/>
      <c r="F84" s="13"/>
      <c r="G84" s="13"/>
    </row>
    <row r="85" spans="1:7" x14ac:dyDescent="0.25">
      <c r="A85" s="13"/>
      <c r="B85" s="13"/>
      <c r="C85" s="13"/>
      <c r="D85" s="13"/>
      <c r="E85" s="13"/>
      <c r="F85" s="13"/>
      <c r="G85" s="13"/>
    </row>
    <row r="86" spans="1:7" x14ac:dyDescent="0.25">
      <c r="A86" s="13"/>
      <c r="B86" s="13"/>
      <c r="C86" s="13"/>
      <c r="D86" s="13"/>
      <c r="E86" s="13"/>
      <c r="F86" s="13"/>
      <c r="G86" s="13"/>
    </row>
    <row r="87" spans="1:7" x14ac:dyDescent="0.25">
      <c r="A87" s="13"/>
      <c r="B87" s="13"/>
      <c r="C87" s="13"/>
      <c r="D87" s="13"/>
      <c r="E87" s="13"/>
      <c r="F87" s="13"/>
      <c r="G87" s="13"/>
    </row>
    <row r="88" spans="1:7" x14ac:dyDescent="0.25">
      <c r="A88" s="13"/>
      <c r="B88" s="13"/>
      <c r="C88" s="13"/>
      <c r="D88" s="13"/>
      <c r="E88" s="13"/>
      <c r="F88" s="13"/>
      <c r="G88" s="13"/>
    </row>
    <row r="89" spans="1:7" x14ac:dyDescent="0.25">
      <c r="A89" s="13"/>
      <c r="B89" s="13"/>
      <c r="C89" s="13"/>
      <c r="D89" s="13"/>
      <c r="E89" s="13"/>
      <c r="F89" s="13"/>
      <c r="G89" s="13"/>
    </row>
    <row r="90" spans="1:7" x14ac:dyDescent="0.25">
      <c r="A90" s="13"/>
      <c r="B90" s="13"/>
      <c r="C90" s="13"/>
      <c r="D90" s="13"/>
      <c r="E90" s="13"/>
      <c r="F90" s="13"/>
      <c r="G90" s="13"/>
    </row>
    <row r="91" spans="1:7" x14ac:dyDescent="0.25">
      <c r="A91" s="13"/>
      <c r="B91" s="13"/>
      <c r="C91" s="13"/>
      <c r="D91" s="13"/>
      <c r="E91" s="13"/>
      <c r="F91" s="13"/>
      <c r="G91" s="13"/>
    </row>
    <row r="92" spans="1:7" x14ac:dyDescent="0.25">
      <c r="A92" s="13"/>
      <c r="B92" s="13"/>
      <c r="C92" s="13"/>
      <c r="D92" s="13"/>
      <c r="E92" s="13"/>
      <c r="F92" s="13"/>
      <c r="G92" s="13"/>
    </row>
    <row r="93" spans="1:7" x14ac:dyDescent="0.25">
      <c r="A93" s="13"/>
      <c r="B93" s="13"/>
      <c r="C93" s="13"/>
      <c r="D93" s="13"/>
      <c r="E93" s="13"/>
      <c r="F93" s="13"/>
      <c r="G93" s="13"/>
    </row>
    <row r="94" spans="1:7" x14ac:dyDescent="0.25">
      <c r="A94" s="13"/>
      <c r="B94" s="13"/>
      <c r="C94" s="13"/>
      <c r="D94" s="13"/>
      <c r="E94" s="13"/>
      <c r="F94" s="13"/>
      <c r="G94" s="13"/>
    </row>
    <row r="95" spans="1:7" x14ac:dyDescent="0.25">
      <c r="A95" s="13"/>
      <c r="B95" s="13"/>
      <c r="C95" s="13"/>
    </row>
    <row r="96" spans="1:7" x14ac:dyDescent="0.25">
      <c r="A96" s="13"/>
      <c r="B96" s="13"/>
    </row>
    <row r="119" ht="13.15" customHeight="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sheetData>
  <sheetProtection sheet="1" objects="1" scenarios="1"/>
  <mergeCells count="9">
    <mergeCell ref="J9:L9"/>
    <mergeCell ref="B21:F24"/>
    <mergeCell ref="D9:F9"/>
    <mergeCell ref="D3:E3"/>
    <mergeCell ref="E11:F13"/>
    <mergeCell ref="D17:E19"/>
    <mergeCell ref="K11:L13"/>
    <mergeCell ref="I21:L24"/>
    <mergeCell ref="J14:J16"/>
  </mergeCells>
  <conditionalFormatting sqref="H11:H19">
    <cfRule type="beginsWith" dxfId="71" priority="5" operator="beginsWith" text="0">
      <formula>LEFT(H11,LEN("0"))="0"</formula>
    </cfRule>
    <cfRule type="cellIs" dxfId="70" priority="6" operator="equal">
      <formula>0</formula>
    </cfRule>
    <cfRule type="cellIs" dxfId="69" priority="7" operator="equal">
      <formula>0</formula>
    </cfRule>
    <cfRule type="cellIs" dxfId="68" priority="8" operator="equal">
      <formula>0</formula>
    </cfRule>
  </conditionalFormatting>
  <conditionalFormatting sqref="H26:M26">
    <cfRule type="beginsWith" dxfId="67" priority="1" operator="beginsWith" text="0">
      <formula>LEFT(H26,LEN("0"))="0"</formula>
    </cfRule>
    <cfRule type="cellIs" dxfId="66" priority="2" operator="equal">
      <formula>0</formula>
    </cfRule>
    <cfRule type="cellIs" dxfId="65" priority="3" operator="equal">
      <formula>0</formula>
    </cfRule>
    <cfRule type="cellIs" dxfId="64" priority="4" operator="equal">
      <formula>0</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2D7F94C-4D46-48BD-9901-A1F7A79F0171}">
          <x14:formula1>
            <xm:f>'LISTA DE MATERIALES'!$B$2:$B$40</xm:f>
          </x14:formula1>
          <xm:sqref>A11:A19</xm:sqref>
        </x14:dataValidation>
        <x14:dataValidation type="list" allowBlank="1" showInputMessage="1" showErrorMessage="1" xr:uid="{91A21BB3-6E10-47F4-8C8C-77DCA685D621}">
          <x14:formula1>
            <xm:f>FORMULAS!$A:$A</xm:f>
          </x14:formula1>
          <xm:sqref>H10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E19AD-4014-4127-BA22-FE0FE3687422}">
  <sheetPr codeName="Sheet9">
    <tabColor rgb="FF00B050"/>
  </sheetPr>
  <dimension ref="A1:AN14"/>
  <sheetViews>
    <sheetView showGridLines="0" tabSelected="1" zoomScaleNormal="100" workbookViewId="0">
      <pane xSplit="1" topLeftCell="B1" activePane="topRight" state="frozen"/>
      <selection pane="topRight" activeCell="B1" sqref="B1"/>
    </sheetView>
  </sheetViews>
  <sheetFormatPr defaultColWidth="8.85546875" defaultRowHeight="15" x14ac:dyDescent="0.25"/>
  <cols>
    <col min="1" max="1" width="15" style="314" bestFit="1" customWidth="1"/>
    <col min="2" max="2" width="11.85546875" style="316" bestFit="1" customWidth="1"/>
    <col min="3" max="3" width="18.28515625" style="314" bestFit="1" customWidth="1"/>
    <col min="4" max="4" width="27.28515625" style="313" bestFit="1" customWidth="1"/>
    <col min="5" max="5" width="22.140625" style="313" hidden="1" customWidth="1"/>
    <col min="6" max="6" width="16.7109375" style="314" bestFit="1" customWidth="1"/>
    <col min="7" max="7" width="27.140625" style="313" bestFit="1" customWidth="1"/>
    <col min="8" max="8" width="22" style="313" hidden="1" customWidth="1"/>
    <col min="9" max="9" width="16.7109375" style="314" hidden="1" customWidth="1"/>
    <col min="10" max="10" width="27.140625" style="313" hidden="1" customWidth="1"/>
    <col min="11" max="11" width="22" style="313" hidden="1" customWidth="1"/>
    <col min="12" max="12" width="16.7109375" style="314" bestFit="1" customWidth="1"/>
    <col min="13" max="13" width="25.7109375" style="313" bestFit="1" customWidth="1"/>
    <col min="14" max="14" width="20.5703125" style="313" hidden="1" customWidth="1"/>
    <col min="15" max="15" width="39.28515625" style="313" hidden="1" customWidth="1"/>
    <col min="16" max="16" width="33.28515625" style="314" hidden="1" customWidth="1"/>
    <col min="17" max="17" width="16.7109375" style="313" hidden="1" customWidth="1"/>
    <col min="18" max="18" width="22" style="313" hidden="1" customWidth="1"/>
    <col min="19" max="19" width="20.42578125" style="313" hidden="1" customWidth="1"/>
    <col min="20" max="20" width="18.85546875" style="314" hidden="1" customWidth="1"/>
    <col min="21" max="21" width="28.7109375" style="313" hidden="1" customWidth="1"/>
    <col min="22" max="22" width="23" style="313" hidden="1" customWidth="1"/>
    <col min="23" max="23" width="20.42578125" style="313" hidden="1" customWidth="1"/>
    <col min="24" max="24" width="18.28515625" style="314" hidden="1" customWidth="1"/>
    <col min="25" max="25" width="27.140625" style="313" hidden="1" customWidth="1"/>
    <col min="26" max="26" width="20.42578125" style="313" hidden="1" customWidth="1"/>
    <col min="27" max="27" width="18.28515625" style="314" hidden="1" customWidth="1"/>
    <col min="28" max="28" width="17.7109375" style="313" hidden="1" customWidth="1"/>
    <col min="29" max="29" width="20.7109375" style="313" hidden="1" customWidth="1"/>
    <col min="30" max="30" width="43" style="314" hidden="1" customWidth="1"/>
    <col min="31" max="31" width="18.28515625" style="313" hidden="1" customWidth="1"/>
    <col min="32" max="32" width="28.28515625" style="313" hidden="1" customWidth="1"/>
    <col min="33" max="33" width="58.5703125" style="314" customWidth="1"/>
    <col min="34" max="34" width="26.7109375" style="316" customWidth="1"/>
    <col min="35" max="35" width="21.7109375" style="314" customWidth="1"/>
    <col min="36" max="36" width="35.28515625" style="314" customWidth="1"/>
    <col min="37" max="37" width="31.7109375" style="314" customWidth="1"/>
    <col min="38" max="38" width="32" style="314" customWidth="1"/>
    <col min="39" max="39" width="22" style="314" customWidth="1"/>
    <col min="40" max="40" width="8" style="314" customWidth="1"/>
    <col min="41" max="16384" width="8.85546875" style="13"/>
  </cols>
  <sheetData>
    <row r="1" spans="1:40" s="315" customFormat="1" ht="46.15" customHeight="1" x14ac:dyDescent="0.25">
      <c r="A1" s="317" t="s">
        <v>1293</v>
      </c>
      <c r="B1" s="318" t="s">
        <v>1303</v>
      </c>
      <c r="C1" s="319" t="s">
        <v>1304</v>
      </c>
      <c r="D1" s="320" t="s">
        <v>1305</v>
      </c>
      <c r="E1" s="320" t="s">
        <v>1306</v>
      </c>
      <c r="F1" s="319" t="s">
        <v>1307</v>
      </c>
      <c r="G1" s="320" t="s">
        <v>1308</v>
      </c>
      <c r="H1" s="320" t="s">
        <v>1309</v>
      </c>
      <c r="I1" s="319" t="s">
        <v>1310</v>
      </c>
      <c r="J1" s="320" t="s">
        <v>1311</v>
      </c>
      <c r="K1" s="320" t="s">
        <v>1312</v>
      </c>
      <c r="L1" s="321" t="s">
        <v>1313</v>
      </c>
      <c r="M1" s="320" t="s">
        <v>1314</v>
      </c>
      <c r="N1" s="320" t="s">
        <v>1315</v>
      </c>
      <c r="O1" s="320" t="s">
        <v>1316</v>
      </c>
      <c r="P1" s="321" t="s">
        <v>1317</v>
      </c>
      <c r="Q1" s="320" t="s">
        <v>1318</v>
      </c>
      <c r="R1" s="320" t="s">
        <v>1319</v>
      </c>
      <c r="S1" s="320" t="s">
        <v>1320</v>
      </c>
      <c r="T1" s="321" t="s">
        <v>1321</v>
      </c>
      <c r="U1" s="320" t="s">
        <v>1322</v>
      </c>
      <c r="V1" s="320" t="s">
        <v>1323</v>
      </c>
      <c r="W1" s="320" t="s">
        <v>1324</v>
      </c>
      <c r="X1" s="59" t="s">
        <v>1325</v>
      </c>
      <c r="Y1" s="320" t="s">
        <v>1326</v>
      </c>
      <c r="Z1" s="320" t="s">
        <v>1327</v>
      </c>
      <c r="AA1" s="59" t="s">
        <v>1328</v>
      </c>
      <c r="AB1" s="320" t="s">
        <v>1329</v>
      </c>
      <c r="AC1" s="320" t="s">
        <v>1330</v>
      </c>
      <c r="AD1" s="59" t="s">
        <v>1331</v>
      </c>
      <c r="AE1" s="320" t="s">
        <v>1332</v>
      </c>
      <c r="AF1" s="320" t="s">
        <v>1333</v>
      </c>
      <c r="AG1" s="59" t="s">
        <v>1334</v>
      </c>
      <c r="AH1" s="324" t="s">
        <v>1335</v>
      </c>
      <c r="AI1" s="325" t="s">
        <v>1297</v>
      </c>
      <c r="AJ1" s="325" t="s">
        <v>1298</v>
      </c>
      <c r="AK1" s="325" t="s">
        <v>1569</v>
      </c>
      <c r="AL1" s="325" t="s">
        <v>1300</v>
      </c>
      <c r="AM1" s="325" t="s">
        <v>1301</v>
      </c>
      <c r="AN1" s="325" t="s">
        <v>1302</v>
      </c>
    </row>
    <row r="2" spans="1:40" s="315" customFormat="1" ht="39.950000000000003" customHeight="1" x14ac:dyDescent="0.25">
      <c r="A2" s="317" t="s">
        <v>1500</v>
      </c>
      <c r="B2" s="318">
        <v>46125</v>
      </c>
      <c r="C2" s="319" t="s">
        <v>894</v>
      </c>
      <c r="D2" s="356">
        <v>0.7</v>
      </c>
      <c r="E2" s="320"/>
      <c r="F2" s="319" t="s">
        <v>1504</v>
      </c>
      <c r="G2" s="356">
        <v>0.15</v>
      </c>
      <c r="H2" s="320"/>
      <c r="I2" s="319"/>
      <c r="J2" s="320"/>
      <c r="K2" s="320"/>
      <c r="L2" s="321" t="s">
        <v>1505</v>
      </c>
      <c r="M2" s="356">
        <v>0.15</v>
      </c>
      <c r="N2" s="320"/>
      <c r="O2" s="320"/>
      <c r="P2" s="321"/>
      <c r="Q2" s="320"/>
      <c r="R2" s="320"/>
      <c r="S2" s="320"/>
      <c r="T2" s="321"/>
      <c r="U2" s="320"/>
      <c r="V2" s="320"/>
      <c r="W2" s="320"/>
      <c r="X2" s="59"/>
      <c r="Y2" s="320"/>
      <c r="Z2" s="320"/>
      <c r="AA2" s="59"/>
      <c r="AB2" s="320"/>
      <c r="AC2" s="320"/>
      <c r="AD2" s="59"/>
      <c r="AE2" s="320"/>
      <c r="AF2" s="320"/>
      <c r="AG2" s="59"/>
      <c r="AH2" s="324"/>
      <c r="AI2" s="325"/>
      <c r="AJ2" s="325"/>
      <c r="AK2" s="325"/>
      <c r="AL2" s="325"/>
      <c r="AM2" s="325"/>
      <c r="AN2" s="325"/>
    </row>
    <row r="3" spans="1:40" s="315" customFormat="1" ht="39.950000000000003" customHeight="1" x14ac:dyDescent="0.25">
      <c r="A3" s="317" t="s">
        <v>1501</v>
      </c>
      <c r="B3" s="318">
        <v>46125</v>
      </c>
      <c r="C3" s="319" t="s">
        <v>1506</v>
      </c>
      <c r="D3" s="356">
        <v>0.42499999999999999</v>
      </c>
      <c r="E3" s="320"/>
      <c r="F3" s="319" t="s">
        <v>1507</v>
      </c>
      <c r="G3" s="356">
        <v>0.42499999999999999</v>
      </c>
      <c r="H3" s="320"/>
      <c r="I3" s="319"/>
      <c r="J3" s="320"/>
      <c r="K3" s="320"/>
      <c r="L3" s="321" t="s">
        <v>1505</v>
      </c>
      <c r="M3" s="356">
        <v>0.15</v>
      </c>
      <c r="N3" s="320"/>
      <c r="O3" s="320"/>
      <c r="P3" s="321"/>
      <c r="Q3" s="320"/>
      <c r="R3" s="320"/>
      <c r="S3" s="320"/>
      <c r="T3" s="321"/>
      <c r="U3" s="320"/>
      <c r="V3" s="320"/>
      <c r="W3" s="320"/>
      <c r="X3" s="59"/>
      <c r="Y3" s="320"/>
      <c r="Z3" s="320"/>
      <c r="AA3" s="59"/>
      <c r="AB3" s="320"/>
      <c r="AC3" s="320"/>
      <c r="AD3" s="59"/>
      <c r="AE3" s="320"/>
      <c r="AF3" s="320"/>
      <c r="AG3" s="59"/>
      <c r="AH3" s="324"/>
      <c r="AI3" s="325"/>
      <c r="AJ3" s="325"/>
      <c r="AK3" s="325"/>
      <c r="AL3" s="325"/>
      <c r="AM3" s="325"/>
      <c r="AN3" s="325"/>
    </row>
    <row r="4" spans="1:40" s="315" customFormat="1" ht="39.950000000000003" customHeight="1" x14ac:dyDescent="0.25">
      <c r="A4" s="317" t="s">
        <v>1502</v>
      </c>
      <c r="B4" s="350">
        <v>46126</v>
      </c>
      <c r="C4" s="319" t="s">
        <v>1506</v>
      </c>
      <c r="D4" s="378">
        <v>0.45</v>
      </c>
      <c r="E4" s="313"/>
      <c r="F4" s="319" t="s">
        <v>1507</v>
      </c>
      <c r="G4" s="378">
        <v>0.45</v>
      </c>
      <c r="H4" s="313"/>
      <c r="I4" s="351"/>
      <c r="J4" s="313"/>
      <c r="K4" s="313"/>
      <c r="L4" s="321" t="s">
        <v>1505</v>
      </c>
      <c r="M4" s="378">
        <v>0.1</v>
      </c>
      <c r="N4" s="313"/>
      <c r="O4" s="313"/>
      <c r="P4" s="352"/>
      <c r="Q4" s="313"/>
      <c r="R4" s="313"/>
      <c r="S4" s="313"/>
      <c r="T4" s="352"/>
      <c r="U4" s="313"/>
      <c r="V4" s="313"/>
      <c r="W4" s="313"/>
      <c r="X4" s="314"/>
      <c r="Y4" s="313"/>
      <c r="Z4" s="313"/>
      <c r="AA4" s="314"/>
      <c r="AB4" s="313"/>
      <c r="AC4" s="313"/>
      <c r="AD4" s="314"/>
      <c r="AE4" s="313"/>
      <c r="AF4" s="353"/>
      <c r="AG4" s="314"/>
      <c r="AH4" s="354"/>
      <c r="AI4" s="355"/>
      <c r="AJ4" s="355"/>
      <c r="AK4" s="355"/>
      <c r="AL4" s="355"/>
      <c r="AM4" s="355"/>
      <c r="AN4" s="355"/>
    </row>
    <row r="5" spans="1:40" ht="39.950000000000003" customHeight="1" x14ac:dyDescent="0.25">
      <c r="A5" s="317" t="s">
        <v>1503</v>
      </c>
      <c r="B5" s="350">
        <v>46126</v>
      </c>
      <c r="C5" s="319" t="s">
        <v>1506</v>
      </c>
      <c r="D5" s="378">
        <v>0.37</v>
      </c>
      <c r="F5" s="319" t="s">
        <v>1507</v>
      </c>
      <c r="G5" s="378">
        <v>0.5</v>
      </c>
      <c r="I5" s="351"/>
      <c r="L5" s="321" t="s">
        <v>1505</v>
      </c>
      <c r="M5" s="378">
        <v>0.13</v>
      </c>
      <c r="P5" s="352"/>
      <c r="T5" s="352"/>
      <c r="AF5" s="353"/>
      <c r="AH5" s="354"/>
      <c r="AI5" s="355"/>
      <c r="AJ5" s="355"/>
      <c r="AK5" s="355"/>
      <c r="AL5" s="355"/>
      <c r="AM5" s="355"/>
      <c r="AN5" s="355"/>
    </row>
    <row r="6" spans="1:40" ht="39.950000000000003" customHeight="1" x14ac:dyDescent="0.25">
      <c r="A6" s="317" t="s">
        <v>1513</v>
      </c>
      <c r="B6" s="350">
        <v>46133</v>
      </c>
      <c r="C6" s="319" t="s">
        <v>1506</v>
      </c>
      <c r="D6" s="378">
        <v>0.35</v>
      </c>
      <c r="F6" s="319" t="s">
        <v>1507</v>
      </c>
      <c r="G6" s="378">
        <v>0.5</v>
      </c>
      <c r="I6" s="351"/>
      <c r="L6" s="321" t="s">
        <v>1505</v>
      </c>
      <c r="M6" s="378">
        <v>0.15</v>
      </c>
      <c r="P6" s="352"/>
      <c r="T6" s="352"/>
      <c r="AF6" s="353"/>
      <c r="AG6" s="315" t="s">
        <v>1556</v>
      </c>
      <c r="AH6" s="354"/>
      <c r="AI6" s="355"/>
      <c r="AJ6" s="355"/>
      <c r="AK6" s="355"/>
      <c r="AL6" s="355"/>
      <c r="AM6" s="355"/>
      <c r="AN6" s="355"/>
    </row>
    <row r="7" spans="1:40" ht="39.950000000000003" customHeight="1" x14ac:dyDescent="0.25">
      <c r="A7" s="317" t="s">
        <v>1514</v>
      </c>
      <c r="B7" s="350">
        <v>46134</v>
      </c>
      <c r="C7" s="319" t="s">
        <v>1506</v>
      </c>
      <c r="D7" s="378">
        <v>0.4</v>
      </c>
      <c r="F7" s="319" t="s">
        <v>1507</v>
      </c>
      <c r="G7" s="378">
        <v>0.45</v>
      </c>
      <c r="I7" s="351"/>
      <c r="L7" s="321" t="s">
        <v>1505</v>
      </c>
      <c r="M7" s="378">
        <v>0.15</v>
      </c>
      <c r="P7" s="352"/>
      <c r="T7" s="352"/>
      <c r="AF7" s="353"/>
      <c r="AG7" s="315" t="s">
        <v>1515</v>
      </c>
      <c r="AH7" s="354"/>
      <c r="AI7" s="355"/>
      <c r="AJ7" s="355"/>
      <c r="AK7" s="355"/>
      <c r="AL7" s="355"/>
      <c r="AM7" s="355"/>
      <c r="AN7" s="355"/>
    </row>
    <row r="8" spans="1:40" ht="39.950000000000003" customHeight="1" x14ac:dyDescent="0.25">
      <c r="A8" s="362" t="s">
        <v>1520</v>
      </c>
      <c r="B8" s="350">
        <v>46135</v>
      </c>
      <c r="C8" s="351" t="s">
        <v>1506</v>
      </c>
      <c r="D8" s="378">
        <v>0.4</v>
      </c>
      <c r="F8" s="351" t="s">
        <v>1507</v>
      </c>
      <c r="G8" s="378">
        <v>0.43</v>
      </c>
      <c r="I8" s="351"/>
      <c r="L8" s="352" t="s">
        <v>1505</v>
      </c>
      <c r="M8" s="378">
        <v>0.17</v>
      </c>
      <c r="P8" s="352"/>
      <c r="T8" s="352"/>
      <c r="AF8" s="353"/>
      <c r="AG8" s="315" t="s">
        <v>1521</v>
      </c>
      <c r="AH8" s="363"/>
      <c r="AI8" s="364"/>
      <c r="AJ8" s="364"/>
      <c r="AK8" s="364"/>
      <c r="AL8" s="364"/>
      <c r="AM8" s="364"/>
      <c r="AN8" s="364"/>
    </row>
    <row r="9" spans="1:40" ht="39.950000000000003" customHeight="1" x14ac:dyDescent="0.25">
      <c r="A9" s="394" t="s">
        <v>1555</v>
      </c>
      <c r="B9" s="395">
        <v>46139</v>
      </c>
      <c r="C9" s="396" t="s">
        <v>1506</v>
      </c>
      <c r="D9" s="397">
        <v>0.38500000000000001</v>
      </c>
      <c r="E9" s="398"/>
      <c r="F9" s="396" t="s">
        <v>1507</v>
      </c>
      <c r="G9" s="397">
        <v>0.41499999999999998</v>
      </c>
      <c r="H9" s="398"/>
      <c r="I9" s="396"/>
      <c r="J9" s="398"/>
      <c r="K9" s="398"/>
      <c r="L9" s="399" t="s">
        <v>1505</v>
      </c>
      <c r="M9" s="397">
        <v>0.2</v>
      </c>
      <c r="N9" s="398"/>
      <c r="O9" s="398"/>
      <c r="P9" s="399"/>
      <c r="Q9" s="398"/>
      <c r="R9" s="398"/>
      <c r="S9" s="398"/>
      <c r="T9" s="399"/>
      <c r="U9" s="398"/>
      <c r="V9" s="398"/>
      <c r="W9" s="398"/>
      <c r="Y9" s="398"/>
      <c r="Z9" s="398"/>
      <c r="AB9" s="398"/>
      <c r="AC9" s="398"/>
      <c r="AE9" s="398"/>
      <c r="AF9" s="400"/>
      <c r="AG9" s="315" t="s">
        <v>1521</v>
      </c>
      <c r="AH9" s="363">
        <v>46141</v>
      </c>
      <c r="AI9" s="401" t="s">
        <v>1568</v>
      </c>
      <c r="AJ9" s="364"/>
      <c r="AK9" s="364">
        <v>3.9009999999999998</v>
      </c>
      <c r="AL9" s="401" t="s">
        <v>1587</v>
      </c>
      <c r="AM9" s="364"/>
      <c r="AN9" s="364"/>
    </row>
    <row r="10" spans="1:40" ht="39.950000000000003" customHeight="1" x14ac:dyDescent="0.25">
      <c r="A10" s="394" t="s">
        <v>1572</v>
      </c>
      <c r="B10" s="395">
        <v>46142</v>
      </c>
      <c r="C10" s="396" t="s">
        <v>1506</v>
      </c>
      <c r="D10" s="397">
        <v>0.38500000000000001</v>
      </c>
      <c r="E10" s="398"/>
      <c r="F10" s="396" t="s">
        <v>1507</v>
      </c>
      <c r="G10" s="397">
        <v>0.41499999999999998</v>
      </c>
      <c r="H10" s="398"/>
      <c r="I10" s="396"/>
      <c r="J10" s="398"/>
      <c r="K10" s="398"/>
      <c r="L10" s="399" t="s">
        <v>1505</v>
      </c>
      <c r="M10" s="397">
        <v>0.2</v>
      </c>
      <c r="N10" s="398"/>
      <c r="O10" s="398"/>
      <c r="P10" s="399"/>
      <c r="Q10" s="398"/>
      <c r="R10" s="398"/>
      <c r="S10" s="398"/>
      <c r="T10" s="399"/>
      <c r="U10" s="398"/>
      <c r="V10" s="398"/>
      <c r="W10" s="398"/>
      <c r="Y10" s="398"/>
      <c r="Z10" s="398"/>
      <c r="AB10" s="398"/>
      <c r="AC10" s="398"/>
      <c r="AE10" s="398"/>
      <c r="AF10" s="400"/>
      <c r="AG10" s="315" t="s">
        <v>1573</v>
      </c>
      <c r="AH10" s="363">
        <v>46147</v>
      </c>
      <c r="AI10" s="401" t="s">
        <v>1640</v>
      </c>
      <c r="AJ10" s="364"/>
      <c r="AK10" s="364">
        <v>3.2829999999999999</v>
      </c>
      <c r="AL10" s="393" t="s">
        <v>1588</v>
      </c>
      <c r="AM10" s="364"/>
      <c r="AN10" s="364"/>
    </row>
    <row r="11" spans="1:40" ht="39.950000000000003" customHeight="1" x14ac:dyDescent="0.25">
      <c r="A11" s="394" t="s">
        <v>1589</v>
      </c>
      <c r="B11" s="316">
        <v>46147</v>
      </c>
      <c r="C11" s="396" t="s">
        <v>1506</v>
      </c>
      <c r="D11" s="397">
        <v>0.38500000000000001</v>
      </c>
      <c r="E11" s="398"/>
      <c r="F11" s="396" t="s">
        <v>1507</v>
      </c>
      <c r="G11" s="397">
        <v>0.41499999999999998</v>
      </c>
      <c r="H11" s="398"/>
      <c r="I11" s="396"/>
      <c r="J11" s="398"/>
      <c r="K11" s="398"/>
      <c r="L11" s="399" t="s">
        <v>1505</v>
      </c>
      <c r="M11" s="397">
        <v>0.2</v>
      </c>
      <c r="N11" s="398"/>
      <c r="O11" s="398"/>
      <c r="Q11" s="398"/>
      <c r="R11" s="398"/>
      <c r="S11" s="398"/>
      <c r="U11" s="398"/>
      <c r="V11" s="398"/>
      <c r="W11" s="398"/>
      <c r="Y11" s="398"/>
      <c r="Z11" s="398"/>
      <c r="AB11" s="398"/>
      <c r="AC11" s="398"/>
      <c r="AE11" s="398"/>
      <c r="AF11" s="400"/>
      <c r="AG11" s="315" t="s">
        <v>1573</v>
      </c>
      <c r="AH11" s="363"/>
      <c r="AI11" s="364"/>
      <c r="AJ11" s="364"/>
      <c r="AK11" s="364"/>
      <c r="AL11" s="364"/>
      <c r="AM11" s="401" t="s">
        <v>1598</v>
      </c>
      <c r="AN11" s="364"/>
    </row>
    <row r="12" spans="1:40" ht="39.950000000000003" customHeight="1" x14ac:dyDescent="0.25">
      <c r="A12" s="362" t="s">
        <v>1615</v>
      </c>
      <c r="B12" s="316">
        <v>46155</v>
      </c>
      <c r="C12" s="396" t="s">
        <v>1506</v>
      </c>
      <c r="D12" s="397">
        <v>0.38500000000000001</v>
      </c>
      <c r="E12" s="398"/>
      <c r="F12" s="396" t="s">
        <v>1507</v>
      </c>
      <c r="G12" s="397">
        <v>0.41499999999999998</v>
      </c>
      <c r="H12" s="398"/>
      <c r="I12" s="396"/>
      <c r="J12" s="398"/>
      <c r="K12" s="398"/>
      <c r="L12" s="399" t="s">
        <v>1505</v>
      </c>
      <c r="M12" s="397">
        <v>0.2</v>
      </c>
      <c r="N12" s="398"/>
      <c r="O12" s="398"/>
      <c r="Q12" s="398"/>
      <c r="R12" s="398"/>
      <c r="S12" s="398"/>
      <c r="U12" s="398"/>
      <c r="V12" s="398"/>
      <c r="W12" s="398"/>
      <c r="Y12" s="398"/>
      <c r="Z12" s="398"/>
      <c r="AB12" s="398"/>
      <c r="AC12" s="398"/>
      <c r="AE12" s="398"/>
      <c r="AF12" s="400"/>
      <c r="AG12" s="315" t="s">
        <v>1573</v>
      </c>
      <c r="AH12" s="363">
        <v>46157</v>
      </c>
      <c r="AI12" s="401" t="s">
        <v>1641</v>
      </c>
      <c r="AJ12" s="364"/>
      <c r="AK12" s="364">
        <v>3.6509999999999998</v>
      </c>
      <c r="AL12" s="364"/>
      <c r="AM12" s="364"/>
      <c r="AN12" s="364"/>
    </row>
    <row r="13" spans="1:40" ht="39.950000000000003" customHeight="1" x14ac:dyDescent="0.25"/>
    <row r="14" spans="1:40" ht="39.950000000000003" customHeight="1" x14ac:dyDescent="0.25"/>
  </sheetData>
  <phoneticPr fontId="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8C06B-31F2-4459-A74B-9DCC3D1B3F1B}">
  <sheetPr codeName="Sheet6">
    <tabColor rgb="FFFFC000"/>
  </sheetPr>
  <dimension ref="A1:F67"/>
  <sheetViews>
    <sheetView showGridLines="0" showWhiteSpace="0" view="pageBreakPreview" zoomScaleNormal="100" zoomScaleSheetLayoutView="100" zoomScalePageLayoutView="85" workbookViewId="0">
      <selection activeCell="C42" sqref="C42"/>
    </sheetView>
  </sheetViews>
  <sheetFormatPr defaultColWidth="11.5703125" defaultRowHeight="15" x14ac:dyDescent="0.25"/>
  <cols>
    <col min="1" max="1" width="2.28515625" style="138" customWidth="1"/>
    <col min="2" max="2" width="36.140625" style="138" customWidth="1"/>
    <col min="3" max="3" width="16.85546875" style="138" customWidth="1"/>
    <col min="4" max="4" width="17.140625" style="138" customWidth="1"/>
    <col min="5" max="5" width="11" style="138" customWidth="1"/>
    <col min="6" max="6" width="14.7109375" style="138" customWidth="1"/>
    <col min="7" max="16384" width="11.5703125" style="1"/>
  </cols>
  <sheetData>
    <row r="1" spans="1:6" ht="25.9" customHeight="1" x14ac:dyDescent="0.25">
      <c r="A1" s="36"/>
      <c r="B1" s="37"/>
      <c r="C1" s="447" t="s">
        <v>1336</v>
      </c>
      <c r="D1" s="448"/>
      <c r="E1" s="449"/>
      <c r="F1" s="55" t="s">
        <v>1337</v>
      </c>
    </row>
    <row r="2" spans="1:6" ht="12.6" customHeight="1" x14ac:dyDescent="0.25">
      <c r="A2" s="38"/>
      <c r="B2" s="25"/>
      <c r="C2" s="450" t="s">
        <v>1338</v>
      </c>
      <c r="D2" s="451"/>
      <c r="E2" s="452"/>
      <c r="F2" s="56" t="s">
        <v>1339</v>
      </c>
    </row>
    <row r="3" spans="1:6" ht="14.45" customHeight="1" x14ac:dyDescent="0.25">
      <c r="A3" s="38"/>
      <c r="B3" s="25"/>
      <c r="C3" s="450"/>
      <c r="D3" s="451"/>
      <c r="E3" s="452"/>
      <c r="F3" s="56" t="s">
        <v>1340</v>
      </c>
    </row>
    <row r="4" spans="1:6" ht="17.45" customHeight="1" thickBot="1" x14ac:dyDescent="0.3">
      <c r="A4" s="23"/>
      <c r="B4" s="39"/>
      <c r="C4" s="453"/>
      <c r="D4" s="454"/>
      <c r="E4" s="455"/>
      <c r="F4" s="57" t="s">
        <v>1341</v>
      </c>
    </row>
    <row r="5" spans="1:6" ht="21.6" customHeight="1" thickBot="1" x14ac:dyDescent="0.3">
      <c r="A5" s="463" t="s">
        <v>1342</v>
      </c>
      <c r="B5" s="464"/>
      <c r="C5" s="464"/>
      <c r="D5" s="464"/>
      <c r="E5" s="464"/>
      <c r="F5" s="465"/>
    </row>
    <row r="6" spans="1:6" ht="15.6" customHeight="1" x14ac:dyDescent="0.25">
      <c r="A6" s="1"/>
      <c r="B6" s="2"/>
      <c r="C6" s="3"/>
      <c r="D6" s="3"/>
      <c r="E6" s="4"/>
      <c r="F6" s="1"/>
    </row>
    <row r="7" spans="1:6" x14ac:dyDescent="0.25">
      <c r="A7" s="5" t="s">
        <v>1343</v>
      </c>
      <c r="B7" s="22"/>
      <c r="C7" s="6" t="s">
        <v>1288</v>
      </c>
      <c r="D7" s="6"/>
      <c r="E7" s="7" t="s">
        <v>1344</v>
      </c>
      <c r="F7" s="8">
        <f ca="1">TODAY()</f>
        <v>46191</v>
      </c>
    </row>
    <row r="8" spans="1:6" x14ac:dyDescent="0.25">
      <c r="A8" s="5"/>
      <c r="B8" s="5"/>
      <c r="C8" s="6"/>
      <c r="D8" s="6"/>
      <c r="E8" s="1"/>
      <c r="F8" s="1"/>
    </row>
    <row r="9" spans="1:6" x14ac:dyDescent="0.25">
      <c r="A9" s="5" t="s">
        <v>1345</v>
      </c>
      <c r="B9" s="5"/>
      <c r="C9" s="460" t="str">
        <f>'HOJA DE CALCULO'!B1</f>
        <v>Test metrologia</v>
      </c>
      <c r="D9" s="460"/>
      <c r="E9" s="1"/>
      <c r="F9" s="1"/>
    </row>
    <row r="10" spans="1:6" x14ac:dyDescent="0.25">
      <c r="A10" s="5" t="s">
        <v>1346</v>
      </c>
      <c r="B10" s="5"/>
      <c r="C10" s="460">
        <f>'HOJA DE CALCULO'!B2</f>
        <v>0</v>
      </c>
      <c r="D10" s="460"/>
      <c r="E10" s="6"/>
      <c r="F10" s="1"/>
    </row>
    <row r="11" spans="1:6" x14ac:dyDescent="0.25">
      <c r="A11" s="1"/>
      <c r="B11" s="1"/>
      <c r="C11" s="1"/>
      <c r="D11" s="1"/>
      <c r="E11" s="1"/>
      <c r="F11" s="1"/>
    </row>
    <row r="12" spans="1:6" x14ac:dyDescent="0.25">
      <c r="A12" s="5" t="s">
        <v>1347</v>
      </c>
      <c r="B12" s="5"/>
      <c r="C12" s="1"/>
      <c r="D12" s="227" t="s">
        <v>1348</v>
      </c>
      <c r="E12" s="5">
        <v>3000</v>
      </c>
      <c r="F12" s="1"/>
    </row>
    <row r="13" spans="1:6" ht="15.75" thickBot="1" x14ac:dyDescent="0.3">
      <c r="A13" s="2"/>
      <c r="B13" s="1"/>
      <c r="C13" s="1"/>
      <c r="D13" s="1"/>
      <c r="E13" s="1"/>
      <c r="F13" s="1"/>
    </row>
    <row r="14" spans="1:6" ht="14.45" customHeight="1" x14ac:dyDescent="0.25">
      <c r="A14" s="466" t="s">
        <v>1349</v>
      </c>
      <c r="B14" s="467"/>
      <c r="C14" s="478" t="s">
        <v>1350</v>
      </c>
      <c r="D14" s="470" t="s">
        <v>1351</v>
      </c>
      <c r="E14" s="470" t="s">
        <v>1352</v>
      </c>
      <c r="F14" s="470" t="s">
        <v>1353</v>
      </c>
    </row>
    <row r="15" spans="1:6" ht="19.899999999999999" customHeight="1" thickBot="1" x14ac:dyDescent="0.3">
      <c r="A15" s="468"/>
      <c r="B15" s="469"/>
      <c r="C15" s="479"/>
      <c r="D15" s="477"/>
      <c r="E15" s="477"/>
      <c r="F15" s="471"/>
    </row>
    <row r="16" spans="1:6" ht="17.45" customHeight="1" thickBot="1" x14ac:dyDescent="0.3">
      <c r="A16" s="54" t="s">
        <v>1354</v>
      </c>
      <c r="B16" s="253" t="e">
        <f>VLOOKUP(IMPRIMIR!$C$7,FORMULAS!A$1:AG$12,3,FALSE)</f>
        <v>#N/A</v>
      </c>
      <c r="C16" s="135"/>
      <c r="D16" s="236" t="str">
        <f>IFERROR(VLOOKUP(B16,LMP,2,0),"")</f>
        <v/>
      </c>
      <c r="E16" s="255" t="e">
        <f>(VLOOKUP(IMPRIMIR!$C$7,FORMULAS!A$1:AG$12,4,FALSE))*$E$12</f>
        <v>#N/A</v>
      </c>
      <c r="F16" s="34" t="e">
        <f>IF(E16=0,0,"")</f>
        <v>#N/A</v>
      </c>
    </row>
    <row r="17" spans="1:6" ht="15.75" thickBot="1" x14ac:dyDescent="0.3">
      <c r="A17" s="54" t="s">
        <v>1355</v>
      </c>
      <c r="B17" s="253" t="e">
        <f>VLOOKUP(IMPRIMIR!$C$7,FORMULAS!A$1:AG$12,6,FALSE)</f>
        <v>#N/A</v>
      </c>
      <c r="C17" s="136"/>
      <c r="D17" s="237" t="str">
        <f t="shared" ref="D17:D24" si="0">IFERROR(VLOOKUP(B17,LMP,2,0),"")</f>
        <v/>
      </c>
      <c r="E17" s="253" t="e">
        <f>(VLOOKUP(IMPRIMIR!$C$7,FORMULAS!A$1:AG$12,7,FALSE))*$E$12</f>
        <v>#N/A</v>
      </c>
      <c r="F17" s="33" t="e">
        <f t="shared" ref="F17:F24" si="1">IF(E17=0,0,"")</f>
        <v>#N/A</v>
      </c>
    </row>
    <row r="18" spans="1:6" ht="15.75" thickBot="1" x14ac:dyDescent="0.3">
      <c r="A18" s="54" t="s">
        <v>1356</v>
      </c>
      <c r="B18" s="253" t="e">
        <f>VLOOKUP(IMPRIMIR!$C$7,FORMULAS!A$1:AG$12,9,FALSE)</f>
        <v>#N/A</v>
      </c>
      <c r="C18" s="136"/>
      <c r="D18" s="237" t="str">
        <f t="shared" si="0"/>
        <v/>
      </c>
      <c r="E18" s="253" t="e">
        <f>(VLOOKUP(IMPRIMIR!$C$7,FORMULAS!A$1:AG$12,10,FALSE))*$E$12</f>
        <v>#N/A</v>
      </c>
      <c r="F18" s="33" t="e">
        <f t="shared" si="1"/>
        <v>#N/A</v>
      </c>
    </row>
    <row r="19" spans="1:6" ht="15.75" thickBot="1" x14ac:dyDescent="0.3">
      <c r="A19" s="54" t="s">
        <v>1357</v>
      </c>
      <c r="B19" s="253" t="e">
        <f>VLOOKUP(IMPRIMIR!$C$7,FORMULAS!A$1:AG$12,12,FALSE)</f>
        <v>#N/A</v>
      </c>
      <c r="C19" s="136"/>
      <c r="D19" s="237" t="str">
        <f t="shared" si="0"/>
        <v/>
      </c>
      <c r="E19" s="253" t="e">
        <f>(VLOOKUP(IMPRIMIR!$C$7,FORMULAS!A$1:AG$12,13,FALSE))*$E$12</f>
        <v>#N/A</v>
      </c>
      <c r="F19" s="33" t="e">
        <f t="shared" si="1"/>
        <v>#N/A</v>
      </c>
    </row>
    <row r="20" spans="1:6" ht="15.75" thickBot="1" x14ac:dyDescent="0.3">
      <c r="A20" s="54" t="s">
        <v>1358</v>
      </c>
      <c r="B20" s="253" t="e">
        <f>VLOOKUP(IMPRIMIR!$C$7,FORMULAS!A$1:AG$12,16,FALSE)</f>
        <v>#N/A</v>
      </c>
      <c r="C20" s="136"/>
      <c r="D20" s="237" t="str">
        <f t="shared" si="0"/>
        <v/>
      </c>
      <c r="E20" s="253" t="e">
        <f>(VLOOKUP(IMPRIMIR!$C$7,FORMULAS!A$1:AG$12,17,FALSE))*$E$12</f>
        <v>#N/A</v>
      </c>
      <c r="F20" s="33" t="e">
        <f t="shared" si="1"/>
        <v>#N/A</v>
      </c>
    </row>
    <row r="21" spans="1:6" ht="15.75" thickBot="1" x14ac:dyDescent="0.3">
      <c r="A21" s="54" t="s">
        <v>1359</v>
      </c>
      <c r="B21" s="253" t="e">
        <f>VLOOKUP(IMPRIMIR!$C$7,FORMULAS!A$1:AG$12,20,FALSE)</f>
        <v>#N/A</v>
      </c>
      <c r="C21" s="136"/>
      <c r="D21" s="237" t="str">
        <f t="shared" si="0"/>
        <v/>
      </c>
      <c r="E21" s="253" t="e">
        <f>(VLOOKUP(IMPRIMIR!$C$7,FORMULAS!A$1:AG$12,21,FALSE))*$E$12</f>
        <v>#N/A</v>
      </c>
      <c r="F21" s="33" t="e">
        <f t="shared" si="1"/>
        <v>#N/A</v>
      </c>
    </row>
    <row r="22" spans="1:6" ht="15.75" thickBot="1" x14ac:dyDescent="0.3">
      <c r="A22" s="54" t="s">
        <v>1360</v>
      </c>
      <c r="B22" s="253" t="e">
        <f>VLOOKUP(IMPRIMIR!$C$7,FORMULAS!A$1:AG$12,24,FALSE)</f>
        <v>#N/A</v>
      </c>
      <c r="C22" s="136"/>
      <c r="D22" s="237" t="str">
        <f t="shared" si="0"/>
        <v/>
      </c>
      <c r="E22" s="253" t="e">
        <f>(VLOOKUP(IMPRIMIR!$C$7,FORMULAS!A$1:AG$12,25,FALSE))*$E$12</f>
        <v>#N/A</v>
      </c>
      <c r="F22" s="33" t="e">
        <f t="shared" si="1"/>
        <v>#N/A</v>
      </c>
    </row>
    <row r="23" spans="1:6" ht="15.75" thickBot="1" x14ac:dyDescent="0.3">
      <c r="A23" s="54" t="s">
        <v>1361</v>
      </c>
      <c r="B23" s="253" t="e">
        <f>VLOOKUP(IMPRIMIR!$C$7,FORMULAS!A$1:AG$12,27,FALSE)</f>
        <v>#N/A</v>
      </c>
      <c r="C23" s="136"/>
      <c r="D23" s="237" t="str">
        <f t="shared" si="0"/>
        <v/>
      </c>
      <c r="E23" s="253" t="e">
        <f>(VLOOKUP(IMPRIMIR!$C$7,FORMULAS!A$1:AG$12,28,FALSE))*$E$12</f>
        <v>#N/A</v>
      </c>
      <c r="F23" s="33" t="e">
        <f t="shared" si="1"/>
        <v>#N/A</v>
      </c>
    </row>
    <row r="24" spans="1:6" ht="15.75" thickBot="1" x14ac:dyDescent="0.3">
      <c r="A24" s="229" t="s">
        <v>1362</v>
      </c>
      <c r="B24" s="254" t="e">
        <f>VLOOKUP(IMPRIMIR!$C$7,FORMULAS!A$1:AG$12,30,FALSE)</f>
        <v>#N/A</v>
      </c>
      <c r="C24" s="137"/>
      <c r="D24" s="238" t="str">
        <f t="shared" si="0"/>
        <v/>
      </c>
      <c r="E24" s="252" t="e">
        <f>(VLOOKUP(IMPRIMIR!$C$7,FORMULAS!A$1:AG$12,31,FALSE))*$E$12</f>
        <v>#N/A</v>
      </c>
      <c r="F24" s="239" t="e">
        <f t="shared" si="1"/>
        <v>#N/A</v>
      </c>
    </row>
    <row r="25" spans="1:6" ht="15.75" thickBot="1" x14ac:dyDescent="0.3">
      <c r="A25" s="24" t="s">
        <v>1294</v>
      </c>
      <c r="B25" s="230"/>
      <c r="C25" s="9"/>
      <c r="D25" s="9"/>
      <c r="E25" s="10" t="e">
        <f>SUM(E16:E24)</f>
        <v>#N/A</v>
      </c>
      <c r="F25" s="12"/>
    </row>
    <row r="26" spans="1:6" ht="15.75" thickBot="1" x14ac:dyDescent="0.3">
      <c r="A26" s="2"/>
      <c r="B26" s="1"/>
      <c r="C26" s="1"/>
      <c r="D26" s="1"/>
      <c r="E26" s="1"/>
      <c r="F26" s="1"/>
    </row>
    <row r="27" spans="1:6" ht="15" customHeight="1" thickBot="1" x14ac:dyDescent="0.3">
      <c r="A27" s="40" t="s">
        <v>1363</v>
      </c>
      <c r="B27" s="41"/>
      <c r="C27" s="472"/>
      <c r="D27" s="473"/>
      <c r="E27" s="474"/>
      <c r="F27" s="475"/>
    </row>
    <row r="28" spans="1:6" ht="16.149999999999999" customHeight="1" thickBot="1" x14ac:dyDescent="0.3">
      <c r="A28" s="42" t="s">
        <v>1364</v>
      </c>
      <c r="B28" s="127"/>
      <c r="C28" s="480"/>
      <c r="D28" s="481"/>
      <c r="E28" s="480"/>
      <c r="F28" s="481"/>
    </row>
    <row r="29" spans="1:6" ht="13.9" customHeight="1" thickBot="1" x14ac:dyDescent="0.3">
      <c r="A29" s="42" t="s">
        <v>1365</v>
      </c>
      <c r="B29" s="43"/>
      <c r="C29" s="476"/>
      <c r="D29" s="474"/>
      <c r="E29" s="474"/>
      <c r="F29" s="475"/>
    </row>
    <row r="30" spans="1:6" ht="13.9" customHeight="1" thickBot="1" x14ac:dyDescent="0.3">
      <c r="A30" s="42" t="s">
        <v>1366</v>
      </c>
      <c r="B30" s="43"/>
      <c r="C30" s="476"/>
      <c r="D30" s="474"/>
      <c r="E30" s="474"/>
      <c r="F30" s="475"/>
    </row>
    <row r="31" spans="1:6" ht="16.149999999999999" customHeight="1" thickBot="1" x14ac:dyDescent="0.3">
      <c r="A31" s="11" t="s">
        <v>1367</v>
      </c>
      <c r="B31" s="1"/>
      <c r="C31" s="1"/>
      <c r="D31" s="1"/>
      <c r="E31" s="1"/>
      <c r="F31" s="1"/>
    </row>
    <row r="32" spans="1:6" ht="15.6" customHeight="1" x14ac:dyDescent="0.25">
      <c r="A32" s="472" t="e">
        <f>VLOOKUP(IMPRIMIR!$C$7,FORMULAS!A$1:AG$12,33,FALSE)</f>
        <v>#N/A</v>
      </c>
      <c r="B32" s="484"/>
      <c r="C32" s="484"/>
      <c r="D32" s="484"/>
      <c r="E32" s="484"/>
      <c r="F32" s="485"/>
    </row>
    <row r="33" spans="1:6" ht="14.45" customHeight="1" x14ac:dyDescent="0.25">
      <c r="A33" s="486"/>
      <c r="B33" s="487"/>
      <c r="C33" s="487"/>
      <c r="D33" s="487"/>
      <c r="E33" s="487"/>
      <c r="F33" s="488"/>
    </row>
    <row r="34" spans="1:6" ht="15.6" customHeight="1" x14ac:dyDescent="0.25">
      <c r="A34" s="486"/>
      <c r="B34" s="487"/>
      <c r="C34" s="487"/>
      <c r="D34" s="487"/>
      <c r="E34" s="487"/>
      <c r="F34" s="488"/>
    </row>
    <row r="35" spans="1:6" ht="14.45" customHeight="1" x14ac:dyDescent="0.25">
      <c r="A35" s="486"/>
      <c r="B35" s="487"/>
      <c r="C35" s="487"/>
      <c r="D35" s="487"/>
      <c r="E35" s="487"/>
      <c r="F35" s="488"/>
    </row>
    <row r="36" spans="1:6" ht="14.45" customHeight="1" thickBot="1" x14ac:dyDescent="0.3">
      <c r="A36" s="489"/>
      <c r="B36" s="490"/>
      <c r="C36" s="490"/>
      <c r="D36" s="490"/>
      <c r="E36" s="490"/>
      <c r="F36" s="491"/>
    </row>
    <row r="37" spans="1:6" ht="33" customHeight="1" thickBot="1" x14ac:dyDescent="0.3">
      <c r="A37" s="482" t="s">
        <v>1368</v>
      </c>
      <c r="B37" s="483"/>
      <c r="C37" s="134" t="s">
        <v>1369</v>
      </c>
      <c r="D37" s="134" t="s">
        <v>1370</v>
      </c>
      <c r="E37" s="134" t="s">
        <v>1371</v>
      </c>
      <c r="F37" s="129"/>
    </row>
    <row r="38" spans="1:6" ht="15.75" thickBot="1" x14ac:dyDescent="0.3">
      <c r="A38" s="458" t="s">
        <v>1372</v>
      </c>
      <c r="B38" s="459"/>
      <c r="C38" s="130"/>
      <c r="D38" s="131"/>
      <c r="E38" s="132"/>
      <c r="F38" s="130" t="s">
        <v>1373</v>
      </c>
    </row>
    <row r="39" spans="1:6" ht="15.75" thickBot="1" x14ac:dyDescent="0.3">
      <c r="A39" s="458" t="s">
        <v>1374</v>
      </c>
      <c r="B39" s="459"/>
      <c r="C39" s="130" t="s">
        <v>1375</v>
      </c>
      <c r="D39" s="131"/>
      <c r="E39" s="132"/>
      <c r="F39" s="130" t="s">
        <v>1376</v>
      </c>
    </row>
    <row r="40" spans="1:6" ht="15.75" thickBot="1" x14ac:dyDescent="0.3">
      <c r="A40" s="458" t="s">
        <v>1377</v>
      </c>
      <c r="B40" s="459"/>
      <c r="C40" s="130" t="s">
        <v>1375</v>
      </c>
      <c r="D40" s="131"/>
      <c r="E40" s="132"/>
      <c r="F40" s="130" t="s">
        <v>1378</v>
      </c>
    </row>
    <row r="41" spans="1:6" ht="15.75" thickBot="1" x14ac:dyDescent="0.3">
      <c r="A41" s="458" t="s">
        <v>1379</v>
      </c>
      <c r="B41" s="459"/>
      <c r="C41" s="130"/>
      <c r="D41" s="131"/>
      <c r="E41" s="132"/>
      <c r="F41" s="130" t="s">
        <v>1380</v>
      </c>
    </row>
    <row r="42" spans="1:6" ht="15.75" thickBot="1" x14ac:dyDescent="0.3">
      <c r="A42" s="456" t="s">
        <v>1381</v>
      </c>
      <c r="B42" s="457"/>
      <c r="C42" s="130"/>
      <c r="D42" s="131"/>
      <c r="E42" s="132"/>
      <c r="F42" s="130" t="s">
        <v>1381</v>
      </c>
    </row>
    <row r="43" spans="1:6" ht="15.75" thickBot="1" x14ac:dyDescent="0.3">
      <c r="A43" s="458" t="s">
        <v>1382</v>
      </c>
      <c r="B43" s="459"/>
      <c r="C43" s="130" t="s">
        <v>1375</v>
      </c>
      <c r="D43" s="131"/>
      <c r="E43" s="132"/>
      <c r="F43" s="133" t="s">
        <v>1383</v>
      </c>
    </row>
    <row r="44" spans="1:6" ht="15.75" thickBot="1" x14ac:dyDescent="0.3">
      <c r="A44" s="510" t="s">
        <v>1384</v>
      </c>
      <c r="B44" s="511"/>
      <c r="C44" s="501" t="s">
        <v>1385</v>
      </c>
      <c r="D44" s="502"/>
      <c r="E44" s="503" t="s">
        <v>1386</v>
      </c>
      <c r="F44" s="502"/>
    </row>
    <row r="45" spans="1:6" ht="15.75" thickBot="1" x14ac:dyDescent="0.3">
      <c r="A45" s="461"/>
      <c r="B45" s="462"/>
      <c r="C45" s="461"/>
      <c r="D45" s="462"/>
      <c r="E45" s="476"/>
      <c r="F45" s="475"/>
    </row>
    <row r="46" spans="1:6" ht="15.75" thickBot="1" x14ac:dyDescent="0.3">
      <c r="A46" s="1"/>
      <c r="B46" s="128"/>
      <c r="C46" s="128"/>
      <c r="D46" s="128"/>
      <c r="E46" s="128"/>
      <c r="F46" s="128"/>
    </row>
    <row r="47" spans="1:6" ht="18.75" thickBot="1" x14ac:dyDescent="0.3">
      <c r="A47" s="463" t="s">
        <v>1387</v>
      </c>
      <c r="B47" s="464"/>
      <c r="C47" s="464"/>
      <c r="D47" s="464"/>
      <c r="E47" s="464"/>
      <c r="F47" s="465"/>
    </row>
    <row r="48" spans="1:6" ht="15.75" thickBot="1" x14ac:dyDescent="0.3">
      <c r="A48" s="1"/>
      <c r="B48" s="1"/>
      <c r="C48" s="1"/>
      <c r="D48" s="1"/>
      <c r="E48" s="1"/>
      <c r="F48" s="1"/>
    </row>
    <row r="49" spans="1:6" ht="16.5" thickBot="1" x14ac:dyDescent="0.3">
      <c r="A49" s="504" t="s">
        <v>1388</v>
      </c>
      <c r="B49" s="505"/>
      <c r="C49" s="208"/>
      <c r="D49" s="208"/>
      <c r="E49" s="208"/>
      <c r="F49" s="209"/>
    </row>
    <row r="50" spans="1:6" ht="15.6" customHeight="1" x14ac:dyDescent="0.25">
      <c r="A50" s="492"/>
      <c r="B50" s="493"/>
      <c r="C50" s="493"/>
      <c r="D50" s="493"/>
      <c r="E50" s="493"/>
      <c r="F50" s="494"/>
    </row>
    <row r="51" spans="1:6" ht="14.45" customHeight="1" x14ac:dyDescent="0.25">
      <c r="A51" s="495"/>
      <c r="B51" s="496"/>
      <c r="C51" s="496"/>
      <c r="D51" s="496"/>
      <c r="E51" s="496"/>
      <c r="F51" s="497"/>
    </row>
    <row r="52" spans="1:6" ht="14.45" customHeight="1" x14ac:dyDescent="0.25">
      <c r="A52" s="495"/>
      <c r="B52" s="496"/>
      <c r="C52" s="496"/>
      <c r="D52" s="496"/>
      <c r="E52" s="496"/>
      <c r="F52" s="497"/>
    </row>
    <row r="53" spans="1:6" ht="14.45" customHeight="1" x14ac:dyDescent="0.25">
      <c r="A53" s="495"/>
      <c r="B53" s="496"/>
      <c r="C53" s="496"/>
      <c r="D53" s="496"/>
      <c r="E53" s="496"/>
      <c r="F53" s="497"/>
    </row>
    <row r="54" spans="1:6" ht="15" customHeight="1" thickBot="1" x14ac:dyDescent="0.3">
      <c r="A54" s="498"/>
      <c r="B54" s="499"/>
      <c r="C54" s="499"/>
      <c r="D54" s="499"/>
      <c r="E54" s="499"/>
      <c r="F54" s="500"/>
    </row>
    <row r="55" spans="1:6" ht="16.5" thickBot="1" x14ac:dyDescent="0.3">
      <c r="A55" s="504" t="s">
        <v>1389</v>
      </c>
      <c r="B55" s="505"/>
      <c r="C55" s="220"/>
      <c r="D55" s="220"/>
      <c r="E55" s="220"/>
      <c r="F55" s="221"/>
    </row>
    <row r="56" spans="1:6" ht="15.6" customHeight="1" x14ac:dyDescent="0.25">
      <c r="A56" s="506" t="s">
        <v>14</v>
      </c>
      <c r="B56" s="507"/>
      <c r="C56" s="222"/>
      <c r="D56" s="204"/>
      <c r="E56" s="204"/>
      <c r="F56" s="207"/>
    </row>
    <row r="57" spans="1:6" ht="16.149999999999999" customHeight="1" x14ac:dyDescent="0.25">
      <c r="A57" s="506" t="s">
        <v>15</v>
      </c>
      <c r="B57" s="507"/>
      <c r="C57" s="222"/>
      <c r="D57" s="204"/>
      <c r="E57" s="204"/>
      <c r="F57" s="207"/>
    </row>
    <row r="58" spans="1:6" ht="14.45" customHeight="1" x14ac:dyDescent="0.25">
      <c r="A58" s="506" t="s">
        <v>1390</v>
      </c>
      <c r="B58" s="507"/>
      <c r="C58" s="222"/>
      <c r="D58" s="218" t="s">
        <v>16</v>
      </c>
      <c r="E58" s="219"/>
      <c r="F58" s="207"/>
    </row>
    <row r="59" spans="1:6" ht="14.45" customHeight="1" x14ac:dyDescent="0.25">
      <c r="A59" s="206"/>
      <c r="B59" s="205" t="s">
        <v>1391</v>
      </c>
      <c r="C59" s="222"/>
      <c r="D59"/>
      <c r="E59"/>
      <c r="F59"/>
    </row>
    <row r="60" spans="1:6" ht="14.45" customHeight="1" x14ac:dyDescent="0.25">
      <c r="A60" s="506" t="s">
        <v>1392</v>
      </c>
      <c r="B60" s="507"/>
      <c r="C60" s="222"/>
      <c r="D60" s="204"/>
      <c r="E60" s="204"/>
      <c r="F60" s="207"/>
    </row>
    <row r="61" spans="1:6" ht="14.45" customHeight="1" thickBot="1" x14ac:dyDescent="0.3">
      <c r="A61" s="506" t="s">
        <v>1393</v>
      </c>
      <c r="B61" s="507"/>
      <c r="C61" s="222"/>
      <c r="D61" s="204"/>
      <c r="E61" s="204"/>
      <c r="F61" s="207"/>
    </row>
    <row r="62" spans="1:6" ht="15" customHeight="1" thickBot="1" x14ac:dyDescent="0.3">
      <c r="A62" s="508" t="s">
        <v>1394</v>
      </c>
      <c r="B62" s="509"/>
      <c r="C62" s="210"/>
      <c r="D62" s="210"/>
      <c r="E62" s="210"/>
      <c r="F62" s="211"/>
    </row>
    <row r="63" spans="1:6" ht="15" customHeight="1" x14ac:dyDescent="0.25">
      <c r="A63" s="492" t="s">
        <v>1395</v>
      </c>
      <c r="B63" s="493"/>
      <c r="C63" s="493"/>
      <c r="D63" s="493"/>
      <c r="E63" s="493"/>
      <c r="F63" s="494"/>
    </row>
    <row r="64" spans="1:6" ht="15" customHeight="1" x14ac:dyDescent="0.25">
      <c r="A64" s="495"/>
      <c r="B64" s="496"/>
      <c r="C64" s="496"/>
      <c r="D64" s="496"/>
      <c r="E64" s="496"/>
      <c r="F64" s="497"/>
    </row>
    <row r="65" spans="1:6" ht="15" customHeight="1" x14ac:dyDescent="0.25">
      <c r="A65" s="495"/>
      <c r="B65" s="496"/>
      <c r="C65" s="496"/>
      <c r="D65" s="496"/>
      <c r="E65" s="496"/>
      <c r="F65" s="497"/>
    </row>
    <row r="66" spans="1:6" ht="15" customHeight="1" x14ac:dyDescent="0.25">
      <c r="A66" s="495"/>
      <c r="B66" s="496"/>
      <c r="C66" s="496"/>
      <c r="D66" s="496"/>
      <c r="E66" s="496"/>
      <c r="F66" s="497"/>
    </row>
    <row r="67" spans="1:6" ht="14.45" customHeight="1" thickBot="1" x14ac:dyDescent="0.3">
      <c r="A67" s="498"/>
      <c r="B67" s="499"/>
      <c r="C67" s="499"/>
      <c r="D67" s="499"/>
      <c r="E67" s="499"/>
      <c r="F67" s="500"/>
    </row>
  </sheetData>
  <protectedRanges>
    <protectedRange algorithmName="SHA-512" hashValue="n4wrgJgIHIHtiGtMhDDDc0UmstQJ8hDs/kwLRQtWqYFbBeb4I2wQtPptbPFRq6qGhiCvs1rRuYJxa1dlNGfU1A==" saltValue="pxnN/uWl+k3uvlQeyFlBbg==" spinCount="100000" sqref="A50 A63 A51:B62 A64:B66 C50:F66" name="Proceso"/>
  </protectedRanges>
  <mergeCells count="40">
    <mergeCell ref="A63:F67"/>
    <mergeCell ref="C44:D44"/>
    <mergeCell ref="E44:F44"/>
    <mergeCell ref="E45:F45"/>
    <mergeCell ref="C45:D45"/>
    <mergeCell ref="A47:F47"/>
    <mergeCell ref="A49:B49"/>
    <mergeCell ref="A55:B55"/>
    <mergeCell ref="A50:F54"/>
    <mergeCell ref="A56:B56"/>
    <mergeCell ref="A57:B57"/>
    <mergeCell ref="A58:B58"/>
    <mergeCell ref="A60:B60"/>
    <mergeCell ref="A62:B62"/>
    <mergeCell ref="A61:B61"/>
    <mergeCell ref="A44:B44"/>
    <mergeCell ref="A45:B45"/>
    <mergeCell ref="A5:F5"/>
    <mergeCell ref="A14:B15"/>
    <mergeCell ref="F14:F15"/>
    <mergeCell ref="C27:F27"/>
    <mergeCell ref="C29:F29"/>
    <mergeCell ref="C30:F30"/>
    <mergeCell ref="D14:D15"/>
    <mergeCell ref="C14:C15"/>
    <mergeCell ref="E14:E15"/>
    <mergeCell ref="C28:D28"/>
    <mergeCell ref="E28:F28"/>
    <mergeCell ref="A37:B37"/>
    <mergeCell ref="A38:B38"/>
    <mergeCell ref="A39:B39"/>
    <mergeCell ref="A32:F36"/>
    <mergeCell ref="C1:E1"/>
    <mergeCell ref="C2:E4"/>
    <mergeCell ref="A42:B42"/>
    <mergeCell ref="A43:B43"/>
    <mergeCell ref="A40:B40"/>
    <mergeCell ref="A41:B41"/>
    <mergeCell ref="C9:D9"/>
    <mergeCell ref="C10:D10"/>
  </mergeCells>
  <conditionalFormatting sqref="A32">
    <cfRule type="beginsWith" dxfId="13" priority="10" operator="beginsWith" text="0">
      <formula>LEFT(A32,LEN("0"))="0"</formula>
    </cfRule>
  </conditionalFormatting>
  <conditionalFormatting sqref="A56">
    <cfRule type="beginsWith" dxfId="12" priority="1" operator="beginsWith" text="0">
      <formula>LEFT(A56,LEN("0"))="0"</formula>
    </cfRule>
  </conditionalFormatting>
  <conditionalFormatting sqref="B16:B24">
    <cfRule type="beginsWith" dxfId="11" priority="16" operator="beginsWith" text="0">
      <formula>LEFT(B16,LEN("0"))="0"</formula>
    </cfRule>
    <cfRule type="cellIs" dxfId="10" priority="17" operator="equal">
      <formula>0</formula>
    </cfRule>
    <cfRule type="cellIs" dxfId="9" priority="18" operator="equal">
      <formula>0</formula>
    </cfRule>
    <cfRule type="cellIs" dxfId="8" priority="19" operator="equal">
      <formula>0</formula>
    </cfRule>
  </conditionalFormatting>
  <conditionalFormatting sqref="C27:C30 C38:C43 E38:E43">
    <cfRule type="cellIs" dxfId="7" priority="7" operator="equal">
      <formula>0</formula>
    </cfRule>
  </conditionalFormatting>
  <conditionalFormatting sqref="C16:F24">
    <cfRule type="cellIs" dxfId="6" priority="11" operator="equal">
      <formula>0</formula>
    </cfRule>
  </conditionalFormatting>
  <conditionalFormatting sqref="D16:D24">
    <cfRule type="cellIs" dxfId="5" priority="5" operator="equal">
      <formula>""</formula>
    </cfRule>
  </conditionalFormatting>
  <conditionalFormatting sqref="E28">
    <cfRule type="cellIs" dxfId="4" priority="3" operator="equal">
      <formula>0</formula>
    </cfRule>
  </conditionalFormatting>
  <pageMargins left="0.23622047244094491" right="0.23622047244094491" top="0.74803149606299213" bottom="0.74803149606299213" header="0.31496062992125984" footer="0.31496062992125984"/>
  <pageSetup paperSize="9" orientation="portrait" r:id="rId1"/>
  <headerFooter>
    <oddFooter>Page &amp;P</oddFooter>
  </headerFooter>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D001B0D-6A97-454B-AE99-84583B91FAC7}">
          <x14:formula1>
            <xm:f>'LISTA DE MATERIALES'!$H$5:$H$7</xm:f>
          </x14:formula1>
          <xm:sqref>C56</xm:sqref>
        </x14:dataValidation>
        <x14:dataValidation type="list" allowBlank="1" showInputMessage="1" showErrorMessage="1" xr:uid="{F08AC87F-475A-4917-85E3-689A4A9AAFF8}">
          <x14:formula1>
            <xm:f>'LISTA DE MATERIALES'!$I$5:$I$9</xm:f>
          </x14:formula1>
          <xm:sqref>C57</xm:sqref>
        </x14:dataValidation>
        <x14:dataValidation type="list" allowBlank="1" showInputMessage="1" showErrorMessage="1" xr:uid="{AE8DD19A-09E5-498F-BFF9-A1E7BA9D9005}">
          <x14:formula1>
            <xm:f>'LISTA DE MATERIALES'!$K$5:$K$6</xm:f>
          </x14:formula1>
          <xm:sqref>C59 C61</xm:sqref>
        </x14:dataValidation>
        <x14:dataValidation type="list" allowBlank="1" showInputMessage="1" showErrorMessage="1" xr:uid="{C6F0C34A-826A-4CED-8E08-AC13EA58BA77}">
          <x14:formula1>
            <xm:f>'LISTA DE MATERIALES'!$J$5:$J$10</xm:f>
          </x14:formula1>
          <xm:sqref>E58</xm:sqref>
        </x14:dataValidation>
        <x14:dataValidation type="list" allowBlank="1" showInputMessage="1" showErrorMessage="1" xr:uid="{C06FB79B-3863-43F9-A079-5F5F7C9389BE}">
          <x14:formula1>
            <xm:f>FORMULAS!$A:$A</xm:f>
          </x14:formula1>
          <xm:sqref>C7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406AA-5A04-4AD9-A289-447496C37758}">
  <sheetPr codeName="Sheet4">
    <tabColor rgb="FF00B0F0"/>
  </sheetPr>
  <dimension ref="A1:AE42"/>
  <sheetViews>
    <sheetView showGridLines="0" zoomScaleNormal="100" zoomScaleSheetLayoutView="98" workbookViewId="0">
      <pane xSplit="2" ySplit="2" topLeftCell="C38" activePane="bottomRight" state="frozen"/>
      <selection pane="topRight" activeCell="C1" sqref="C1"/>
      <selection pane="bottomLeft" activeCell="A3" sqref="A3"/>
      <selection pane="bottomRight" activeCell="N39" sqref="N39:N40"/>
    </sheetView>
  </sheetViews>
  <sheetFormatPr defaultColWidth="11.42578125" defaultRowHeight="15" x14ac:dyDescent="0.25"/>
  <cols>
    <col min="1" max="1" width="33.42578125" style="77" bestFit="1" customWidth="1"/>
    <col min="2" max="2" width="5" style="77" customWidth="1"/>
    <col min="3" max="3" width="11.5703125" style="77" bestFit="1" customWidth="1"/>
    <col min="4" max="4" width="39.28515625" style="77" customWidth="1"/>
    <col min="5" max="5" width="12.7109375" style="77" hidden="1" customWidth="1"/>
    <col min="6" max="6" width="9.85546875" style="77" customWidth="1"/>
    <col min="7" max="7" width="5.28515625" style="77" customWidth="1"/>
    <col min="8" max="8" width="10.28515625" style="77" customWidth="1"/>
    <col min="9" max="9" width="19" style="77" customWidth="1"/>
    <col min="10" max="10" width="20.7109375" style="77" hidden="1" customWidth="1"/>
    <col min="11" max="11" width="17.85546875" style="77" hidden="1" customWidth="1"/>
    <col min="12" max="12" width="20.7109375" style="77" hidden="1" customWidth="1"/>
    <col min="13" max="13" width="20.28515625" style="77" hidden="1" customWidth="1"/>
    <col min="14" max="14" width="9.7109375" style="77" customWidth="1"/>
    <col min="15" max="15" width="12" style="77" hidden="1" customWidth="1"/>
    <col min="16" max="16" width="6.85546875" style="77" customWidth="1"/>
    <col min="17" max="17" width="5" style="77" customWidth="1"/>
    <col min="18" max="18" width="4.140625" style="77" customWidth="1"/>
    <col min="19" max="20" width="4.7109375" style="77" customWidth="1"/>
    <col min="21" max="21" width="10.7109375" style="77" customWidth="1"/>
    <col min="22" max="23" width="14.85546875" style="77" customWidth="1"/>
    <col min="24" max="24" width="4.5703125" style="77" customWidth="1"/>
    <col min="25" max="25" width="19.42578125" style="77" hidden="1" customWidth="1"/>
    <col min="26" max="26" width="17.28515625" style="77" hidden="1" customWidth="1"/>
    <col min="27" max="27" width="5.5703125" style="77" customWidth="1"/>
    <col min="28" max="28" width="25.5703125" style="77" bestFit="1" customWidth="1"/>
    <col min="29" max="29" width="39.42578125" style="77" customWidth="1"/>
    <col min="30" max="30" width="45.85546875" style="77" customWidth="1"/>
    <col min="31" max="31" width="56.5703125" style="77" customWidth="1"/>
    <col min="32" max="16384" width="11.42578125" style="77"/>
  </cols>
  <sheetData>
    <row r="1" spans="1:31" ht="29.25" customHeight="1" x14ac:dyDescent="0.25">
      <c r="A1" s="365" t="s">
        <v>1396</v>
      </c>
      <c r="B1" s="366"/>
      <c r="C1" s="366"/>
      <c r="D1" s="367"/>
      <c r="E1" s="406" t="s">
        <v>1397</v>
      </c>
      <c r="F1" s="407"/>
      <c r="G1" s="407"/>
      <c r="H1" s="408"/>
      <c r="I1" s="96" t="s">
        <v>1398</v>
      </c>
      <c r="J1" s="406" t="s">
        <v>1399</v>
      </c>
      <c r="K1" s="407"/>
      <c r="L1" s="408"/>
      <c r="M1" s="406" t="s">
        <v>1400</v>
      </c>
      <c r="N1" s="407"/>
      <c r="O1" s="408"/>
      <c r="P1" s="406" t="s">
        <v>1401</v>
      </c>
      <c r="Q1" s="407"/>
      <c r="R1" s="407"/>
      <c r="S1" s="407"/>
      <c r="T1" s="407"/>
      <c r="U1" s="407"/>
      <c r="V1" s="407"/>
      <c r="W1" s="407"/>
      <c r="X1" s="407"/>
      <c r="Y1" s="407"/>
      <c r="Z1" s="408"/>
      <c r="AA1" s="368"/>
      <c r="AB1" s="409" t="s">
        <v>1402</v>
      </c>
      <c r="AC1" s="410"/>
      <c r="AD1" s="410"/>
      <c r="AE1" s="410"/>
    </row>
    <row r="2" spans="1:31" ht="50.25" customHeight="1" thickBot="1" x14ac:dyDescent="0.3">
      <c r="A2" s="106" t="s">
        <v>1403</v>
      </c>
      <c r="B2" s="107" t="s">
        <v>1547</v>
      </c>
      <c r="C2" s="107" t="s">
        <v>1303</v>
      </c>
      <c r="D2" s="108" t="s">
        <v>1404</v>
      </c>
      <c r="E2" s="109" t="s">
        <v>1405</v>
      </c>
      <c r="F2" s="107" t="s">
        <v>1406</v>
      </c>
      <c r="G2" s="107" t="s">
        <v>1407</v>
      </c>
      <c r="H2" s="108" t="s">
        <v>1408</v>
      </c>
      <c r="I2" s="110" t="s">
        <v>1409</v>
      </c>
      <c r="J2" s="109" t="s">
        <v>1410</v>
      </c>
      <c r="K2" s="107" t="s">
        <v>1411</v>
      </c>
      <c r="L2" s="108" t="s">
        <v>1412</v>
      </c>
      <c r="M2" s="109" t="s">
        <v>1413</v>
      </c>
      <c r="N2" s="107" t="s">
        <v>1649</v>
      </c>
      <c r="O2" s="108" t="s">
        <v>1414</v>
      </c>
      <c r="P2" s="109" t="s">
        <v>1415</v>
      </c>
      <c r="Q2" s="107" t="s">
        <v>1416</v>
      </c>
      <c r="R2" s="107" t="s">
        <v>1417</v>
      </c>
      <c r="S2" s="107" t="s">
        <v>1418</v>
      </c>
      <c r="T2" s="107" t="s">
        <v>1419</v>
      </c>
      <c r="U2" s="107" t="s">
        <v>1420</v>
      </c>
      <c r="V2" s="107" t="s">
        <v>1421</v>
      </c>
      <c r="W2" s="108" t="s">
        <v>1422</v>
      </c>
      <c r="X2" s="107" t="s">
        <v>1423</v>
      </c>
      <c r="Y2" s="107" t="s">
        <v>1424</v>
      </c>
      <c r="Z2" s="108" t="s">
        <v>1425</v>
      </c>
      <c r="AA2" s="111" t="s">
        <v>1554</v>
      </c>
      <c r="AB2" s="107" t="s">
        <v>1426</v>
      </c>
      <c r="AC2" s="106" t="s">
        <v>1427</v>
      </c>
      <c r="AD2" s="111" t="s">
        <v>1428</v>
      </c>
      <c r="AE2" s="78" t="s">
        <v>1614</v>
      </c>
    </row>
    <row r="3" spans="1:31" ht="27.75" customHeight="1" thickTop="1" x14ac:dyDescent="0.25">
      <c r="A3" s="103" t="s">
        <v>1536</v>
      </c>
      <c r="B3" s="100">
        <v>1</v>
      </c>
      <c r="C3" s="357">
        <v>46126</v>
      </c>
      <c r="D3" s="101" t="s">
        <v>1508</v>
      </c>
      <c r="E3" s="97"/>
      <c r="F3" s="358">
        <v>1</v>
      </c>
      <c r="G3" s="358" t="s">
        <v>1529</v>
      </c>
      <c r="H3" s="101" t="s">
        <v>1511</v>
      </c>
      <c r="I3" s="84" t="s">
        <v>1283</v>
      </c>
      <c r="J3" s="97" t="s">
        <v>1510</v>
      </c>
      <c r="K3" s="98">
        <v>50</v>
      </c>
      <c r="L3" s="99">
        <v>120</v>
      </c>
      <c r="M3" s="86" t="s">
        <v>1283</v>
      </c>
      <c r="N3" s="79" t="s">
        <v>1283</v>
      </c>
      <c r="O3" s="82" t="s">
        <v>1283</v>
      </c>
      <c r="P3" s="88">
        <v>1.5</v>
      </c>
      <c r="Q3" s="80">
        <v>10</v>
      </c>
      <c r="R3" s="80">
        <v>-8</v>
      </c>
      <c r="S3" s="80">
        <v>20</v>
      </c>
      <c r="T3" s="360">
        <v>0.6</v>
      </c>
      <c r="U3" s="80" t="s">
        <v>1283</v>
      </c>
      <c r="V3" s="80" t="s">
        <v>1283</v>
      </c>
      <c r="W3" s="80" t="s">
        <v>1283</v>
      </c>
      <c r="X3" s="80">
        <v>60</v>
      </c>
      <c r="Y3" s="80" t="s">
        <v>1283</v>
      </c>
      <c r="Z3" s="89" t="s">
        <v>1283</v>
      </c>
      <c r="AA3" s="104">
        <v>180</v>
      </c>
      <c r="AB3" s="80">
        <v>1</v>
      </c>
      <c r="AC3" s="370" t="s">
        <v>1512</v>
      </c>
      <c r="AD3" s="392" t="s">
        <v>1516</v>
      </c>
      <c r="AE3" s="81"/>
    </row>
    <row r="4" spans="1:31" ht="45" x14ac:dyDescent="0.25">
      <c r="A4" s="103" t="s">
        <v>1537</v>
      </c>
      <c r="B4" s="78">
        <v>2</v>
      </c>
      <c r="C4" s="359">
        <v>46126</v>
      </c>
      <c r="D4" s="102" t="s">
        <v>1509</v>
      </c>
      <c r="E4" s="92"/>
      <c r="F4" s="94">
        <v>1</v>
      </c>
      <c r="G4" s="94" t="s">
        <v>1529</v>
      </c>
      <c r="H4" s="102" t="s">
        <v>1511</v>
      </c>
      <c r="I4" s="85" t="s">
        <v>1283</v>
      </c>
      <c r="J4" s="92" t="s">
        <v>1509</v>
      </c>
      <c r="K4" s="94">
        <v>50</v>
      </c>
      <c r="L4" s="95">
        <v>120</v>
      </c>
      <c r="M4" s="87" t="s">
        <v>1283</v>
      </c>
      <c r="N4" s="78" t="s">
        <v>1283</v>
      </c>
      <c r="O4" s="83" t="s">
        <v>1283</v>
      </c>
      <c r="P4" s="90">
        <v>1.6</v>
      </c>
      <c r="Q4" s="81">
        <v>6</v>
      </c>
      <c r="R4" s="81">
        <v>-6</v>
      </c>
      <c r="S4" s="81">
        <v>20</v>
      </c>
      <c r="T4" s="361">
        <v>0.32</v>
      </c>
      <c r="U4" s="81" t="s">
        <v>1283</v>
      </c>
      <c r="V4" s="81" t="s">
        <v>1283</v>
      </c>
      <c r="W4" s="81" t="s">
        <v>1283</v>
      </c>
      <c r="X4" s="81">
        <v>120</v>
      </c>
      <c r="Y4" s="81" t="s">
        <v>1283</v>
      </c>
      <c r="Z4" s="95" t="s">
        <v>1283</v>
      </c>
      <c r="AA4" s="377">
        <v>180</v>
      </c>
      <c r="AB4" s="80">
        <v>4</v>
      </c>
      <c r="AC4" s="375" t="s">
        <v>1543</v>
      </c>
      <c r="AD4" s="371" t="s">
        <v>1549</v>
      </c>
      <c r="AE4" s="81"/>
    </row>
    <row r="5" spans="1:31" ht="30" x14ac:dyDescent="0.25">
      <c r="A5" s="103" t="s">
        <v>1538</v>
      </c>
      <c r="B5" s="78">
        <v>3</v>
      </c>
      <c r="C5" s="359">
        <v>46126</v>
      </c>
      <c r="D5" s="102" t="s">
        <v>1509</v>
      </c>
      <c r="E5" s="92"/>
      <c r="F5" s="94">
        <v>1</v>
      </c>
      <c r="G5" s="94" t="s">
        <v>1529</v>
      </c>
      <c r="H5" s="102" t="s">
        <v>1511</v>
      </c>
      <c r="I5" s="85" t="s">
        <v>1283</v>
      </c>
      <c r="J5" s="92" t="s">
        <v>1509</v>
      </c>
      <c r="K5" s="94">
        <v>50</v>
      </c>
      <c r="L5" s="95">
        <v>120</v>
      </c>
      <c r="M5" s="87" t="s">
        <v>1283</v>
      </c>
      <c r="N5" s="78" t="s">
        <v>1283</v>
      </c>
      <c r="O5" s="83" t="s">
        <v>1283</v>
      </c>
      <c r="P5" s="90">
        <v>1</v>
      </c>
      <c r="Q5" s="81">
        <v>10</v>
      </c>
      <c r="R5" s="81">
        <v>-8</v>
      </c>
      <c r="S5" s="81">
        <v>30</v>
      </c>
      <c r="T5" s="361">
        <v>0.2</v>
      </c>
      <c r="U5" s="81" t="s">
        <v>1283</v>
      </c>
      <c r="V5" s="81" t="s">
        <v>1283</v>
      </c>
      <c r="W5" s="81" t="s">
        <v>1283</v>
      </c>
      <c r="X5" s="81">
        <v>250</v>
      </c>
      <c r="Y5" s="81" t="s">
        <v>1283</v>
      </c>
      <c r="Z5" s="91" t="s">
        <v>1283</v>
      </c>
      <c r="AA5" s="105">
        <v>180</v>
      </c>
      <c r="AB5" s="81">
        <v>4</v>
      </c>
      <c r="AC5" s="372" t="s">
        <v>1544</v>
      </c>
      <c r="AD5" s="371" t="s">
        <v>1550</v>
      </c>
      <c r="AE5" s="81"/>
    </row>
    <row r="6" spans="1:31" ht="75" x14ac:dyDescent="0.25">
      <c r="A6" s="103" t="s">
        <v>1539</v>
      </c>
      <c r="B6" s="78" t="s">
        <v>1535</v>
      </c>
      <c r="C6" s="359">
        <v>46127</v>
      </c>
      <c r="D6" s="102" t="s">
        <v>1509</v>
      </c>
      <c r="E6" s="92"/>
      <c r="F6" s="94">
        <v>1</v>
      </c>
      <c r="G6" s="94" t="s">
        <v>1529</v>
      </c>
      <c r="H6" s="102" t="s">
        <v>1511</v>
      </c>
      <c r="I6" s="85">
        <v>120</v>
      </c>
      <c r="J6" s="92" t="s">
        <v>1283</v>
      </c>
      <c r="K6" s="94" t="s">
        <v>1283</v>
      </c>
      <c r="L6" s="95" t="s">
        <v>1283</v>
      </c>
      <c r="M6" s="87" t="s">
        <v>1283</v>
      </c>
      <c r="N6" s="78" t="s">
        <v>1283</v>
      </c>
      <c r="O6" s="83" t="s">
        <v>1283</v>
      </c>
      <c r="P6" s="90">
        <v>0.6</v>
      </c>
      <c r="Q6" s="81">
        <v>7</v>
      </c>
      <c r="R6" s="81">
        <v>-6</v>
      </c>
      <c r="S6" s="81">
        <v>30</v>
      </c>
      <c r="T6" s="361">
        <v>0.2</v>
      </c>
      <c r="U6" s="81" t="s">
        <v>1283</v>
      </c>
      <c r="V6" s="81" t="s">
        <v>1283</v>
      </c>
      <c r="W6" s="81" t="s">
        <v>1283</v>
      </c>
      <c r="X6" s="81">
        <v>250</v>
      </c>
      <c r="Y6" s="81" t="s">
        <v>1283</v>
      </c>
      <c r="Z6" s="91" t="s">
        <v>1283</v>
      </c>
      <c r="AA6" s="105">
        <v>120</v>
      </c>
      <c r="AB6" s="81">
        <v>4</v>
      </c>
      <c r="AC6" s="374" t="s">
        <v>1545</v>
      </c>
      <c r="AD6" s="371" t="s">
        <v>1519</v>
      </c>
      <c r="AE6" s="81"/>
    </row>
    <row r="7" spans="1:31" ht="30" x14ac:dyDescent="0.25">
      <c r="A7" s="103" t="s">
        <v>1540</v>
      </c>
      <c r="B7" s="78">
        <v>6</v>
      </c>
      <c r="C7" s="359">
        <v>46134</v>
      </c>
      <c r="D7" s="102" t="s">
        <v>1517</v>
      </c>
      <c r="E7" s="92"/>
      <c r="F7" s="94">
        <v>1</v>
      </c>
      <c r="G7" s="94" t="s">
        <v>1529</v>
      </c>
      <c r="H7" s="95" t="s">
        <v>1511</v>
      </c>
      <c r="I7" s="85">
        <v>30</v>
      </c>
      <c r="J7" s="92" t="s">
        <v>1283</v>
      </c>
      <c r="K7" s="94" t="s">
        <v>1283</v>
      </c>
      <c r="L7" s="95" t="s">
        <v>1283</v>
      </c>
      <c r="M7" s="87"/>
      <c r="N7" s="78"/>
      <c r="O7" s="83"/>
      <c r="P7" s="90">
        <v>0.6</v>
      </c>
      <c r="Q7" s="81">
        <v>7</v>
      </c>
      <c r="R7" s="81">
        <v>-6</v>
      </c>
      <c r="S7" s="81">
        <v>30</v>
      </c>
      <c r="T7" s="361">
        <v>0.2</v>
      </c>
      <c r="U7" s="81"/>
      <c r="V7" s="81"/>
      <c r="W7" s="81"/>
      <c r="X7" s="81">
        <v>250</v>
      </c>
      <c r="Y7" s="81"/>
      <c r="Z7" s="91"/>
      <c r="AA7" s="105">
        <v>120</v>
      </c>
      <c r="AB7" s="81">
        <v>4</v>
      </c>
      <c r="AC7" s="369" t="s">
        <v>1546</v>
      </c>
      <c r="AD7" s="373" t="s">
        <v>1534</v>
      </c>
      <c r="AE7" s="81"/>
    </row>
    <row r="8" spans="1:31" ht="30" x14ac:dyDescent="0.25">
      <c r="A8" s="103" t="s">
        <v>1513</v>
      </c>
      <c r="B8" s="78">
        <v>7</v>
      </c>
      <c r="C8" s="359">
        <v>46134</v>
      </c>
      <c r="D8" s="102" t="s">
        <v>1518</v>
      </c>
      <c r="E8" s="92"/>
      <c r="F8" s="94">
        <v>1</v>
      </c>
      <c r="G8" s="94" t="s">
        <v>1529</v>
      </c>
      <c r="H8" s="95" t="s">
        <v>1511</v>
      </c>
      <c r="I8" s="85">
        <v>30</v>
      </c>
      <c r="J8" s="92" t="s">
        <v>1283</v>
      </c>
      <c r="K8" s="94" t="s">
        <v>1283</v>
      </c>
      <c r="L8" s="95" t="s">
        <v>1283</v>
      </c>
      <c r="M8" s="87"/>
      <c r="N8" s="78"/>
      <c r="O8" s="83"/>
      <c r="P8" s="90">
        <v>1</v>
      </c>
      <c r="Q8" s="81">
        <v>7</v>
      </c>
      <c r="R8" s="81">
        <v>-6</v>
      </c>
      <c r="S8" s="81">
        <v>30</v>
      </c>
      <c r="T8" s="361">
        <v>0.2</v>
      </c>
      <c r="U8" s="81"/>
      <c r="V8" s="81"/>
      <c r="W8" s="81"/>
      <c r="X8" s="81">
        <v>250</v>
      </c>
      <c r="Y8" s="81"/>
      <c r="Z8" s="91"/>
      <c r="AA8" s="105">
        <v>120</v>
      </c>
      <c r="AB8" s="81">
        <v>4</v>
      </c>
      <c r="AC8" s="369" t="s">
        <v>1546</v>
      </c>
      <c r="AD8" s="373" t="s">
        <v>1534</v>
      </c>
      <c r="AE8" s="81"/>
    </row>
    <row r="9" spans="1:31" ht="60" x14ac:dyDescent="0.25">
      <c r="A9" s="103" t="s">
        <v>1541</v>
      </c>
      <c r="B9" s="78">
        <v>8</v>
      </c>
      <c r="C9" s="359">
        <v>46135</v>
      </c>
      <c r="D9" s="95" t="s">
        <v>1522</v>
      </c>
      <c r="E9" s="92"/>
      <c r="F9" s="94">
        <v>1</v>
      </c>
      <c r="G9" s="94" t="s">
        <v>1529</v>
      </c>
      <c r="H9" s="95" t="s">
        <v>1511</v>
      </c>
      <c r="I9" s="85">
        <v>30</v>
      </c>
      <c r="J9" s="92" t="s">
        <v>1283</v>
      </c>
      <c r="K9" s="94" t="s">
        <v>1283</v>
      </c>
      <c r="L9" s="95" t="s">
        <v>1283</v>
      </c>
      <c r="M9" s="87"/>
      <c r="N9" s="78"/>
      <c r="O9" s="83"/>
      <c r="P9" s="90">
        <v>0.6</v>
      </c>
      <c r="Q9" s="81">
        <v>7</v>
      </c>
      <c r="R9" s="81">
        <v>-7</v>
      </c>
      <c r="S9" s="81">
        <v>30</v>
      </c>
      <c r="T9" s="361">
        <v>0.2</v>
      </c>
      <c r="U9" s="81"/>
      <c r="V9" s="81"/>
      <c r="W9" s="81"/>
      <c r="X9" s="81">
        <v>250</v>
      </c>
      <c r="Y9" s="81"/>
      <c r="Z9" s="91"/>
      <c r="AA9" s="105">
        <v>120</v>
      </c>
      <c r="AB9" s="81">
        <v>4</v>
      </c>
      <c r="AC9" s="374" t="s">
        <v>1524</v>
      </c>
      <c r="AD9" s="373" t="s">
        <v>1526</v>
      </c>
      <c r="AE9" s="81"/>
    </row>
    <row r="10" spans="1:31" ht="45" x14ac:dyDescent="0.25">
      <c r="A10" s="103" t="s">
        <v>1520</v>
      </c>
      <c r="B10" s="78">
        <v>9</v>
      </c>
      <c r="C10" s="359">
        <v>46135</v>
      </c>
      <c r="D10" s="95" t="s">
        <v>1523</v>
      </c>
      <c r="E10" s="92"/>
      <c r="F10" s="94">
        <v>1</v>
      </c>
      <c r="G10" s="94" t="s">
        <v>1529</v>
      </c>
      <c r="H10" s="95" t="s">
        <v>1511</v>
      </c>
      <c r="I10" s="85">
        <v>30</v>
      </c>
      <c r="J10" s="92" t="s">
        <v>1283</v>
      </c>
      <c r="K10" s="94" t="s">
        <v>1283</v>
      </c>
      <c r="L10" s="95" t="s">
        <v>1283</v>
      </c>
      <c r="M10" s="87"/>
      <c r="N10" s="78"/>
      <c r="O10" s="83"/>
      <c r="P10" s="90">
        <v>1</v>
      </c>
      <c r="Q10" s="81">
        <v>7</v>
      </c>
      <c r="R10" s="81">
        <v>-7</v>
      </c>
      <c r="S10" s="81">
        <v>30</v>
      </c>
      <c r="T10" s="361">
        <v>0.2</v>
      </c>
      <c r="U10" s="81"/>
      <c r="V10" s="81"/>
      <c r="W10" s="81"/>
      <c r="X10" s="81">
        <v>250</v>
      </c>
      <c r="Y10" s="81"/>
      <c r="Z10" s="91"/>
      <c r="AA10" s="105">
        <v>120</v>
      </c>
      <c r="AB10" s="81">
        <v>4</v>
      </c>
      <c r="AC10" s="374" t="s">
        <v>1525</v>
      </c>
      <c r="AD10" s="373" t="s">
        <v>1551</v>
      </c>
      <c r="AE10" s="81"/>
    </row>
    <row r="11" spans="1:31" ht="30" x14ac:dyDescent="0.25">
      <c r="A11" s="103" t="s">
        <v>1542</v>
      </c>
      <c r="B11" s="78">
        <v>10</v>
      </c>
      <c r="C11" s="359">
        <v>46136</v>
      </c>
      <c r="D11" s="95" t="s">
        <v>1527</v>
      </c>
      <c r="E11" s="92"/>
      <c r="F11" s="94">
        <v>1</v>
      </c>
      <c r="G11" s="94" t="s">
        <v>1529</v>
      </c>
      <c r="H11" s="95" t="s">
        <v>1511</v>
      </c>
      <c r="I11" s="85">
        <v>30</v>
      </c>
      <c r="J11" s="92" t="s">
        <v>1283</v>
      </c>
      <c r="K11" s="94" t="s">
        <v>1283</v>
      </c>
      <c r="L11" s="95" t="s">
        <v>1283</v>
      </c>
      <c r="M11" s="87"/>
      <c r="N11" s="78"/>
      <c r="O11" s="83"/>
      <c r="P11" s="90">
        <v>0.45</v>
      </c>
      <c r="Q11" s="81">
        <v>7</v>
      </c>
      <c r="R11" s="81">
        <v>-6.5</v>
      </c>
      <c r="S11" s="81">
        <v>30</v>
      </c>
      <c r="T11" s="361">
        <v>0.2</v>
      </c>
      <c r="U11" s="81"/>
      <c r="V11" s="81"/>
      <c r="W11" s="81"/>
      <c r="X11" s="81">
        <v>250</v>
      </c>
      <c r="Y11" s="81"/>
      <c r="Z11" s="91"/>
      <c r="AA11" s="105">
        <v>100</v>
      </c>
      <c r="AB11" s="81">
        <v>3</v>
      </c>
      <c r="AC11" s="374" t="s">
        <v>1531</v>
      </c>
      <c r="AD11" s="373" t="s">
        <v>1533</v>
      </c>
      <c r="AE11" s="81"/>
    </row>
    <row r="12" spans="1:31" ht="45" x14ac:dyDescent="0.25">
      <c r="A12" s="103" t="s">
        <v>1514</v>
      </c>
      <c r="B12" s="78">
        <v>11</v>
      </c>
      <c r="C12" s="359">
        <v>46136</v>
      </c>
      <c r="D12" s="95" t="s">
        <v>1528</v>
      </c>
      <c r="E12" s="92"/>
      <c r="F12" s="94">
        <v>1</v>
      </c>
      <c r="G12" s="94" t="s">
        <v>1530</v>
      </c>
      <c r="H12" s="95" t="s">
        <v>1511</v>
      </c>
      <c r="I12" s="85">
        <v>30</v>
      </c>
      <c r="J12" s="92" t="s">
        <v>1283</v>
      </c>
      <c r="K12" s="94" t="s">
        <v>1283</v>
      </c>
      <c r="L12" s="95" t="s">
        <v>1283</v>
      </c>
      <c r="M12" s="87"/>
      <c r="N12" s="78"/>
      <c r="O12" s="83"/>
      <c r="P12" s="90">
        <v>0.45</v>
      </c>
      <c r="Q12" s="81">
        <v>7</v>
      </c>
      <c r="R12" s="81">
        <v>-6</v>
      </c>
      <c r="S12" s="81">
        <v>30</v>
      </c>
      <c r="T12" s="361">
        <v>0.2</v>
      </c>
      <c r="U12" s="81"/>
      <c r="V12" s="81"/>
      <c r="W12" s="81"/>
      <c r="X12" s="81">
        <v>250</v>
      </c>
      <c r="Y12" s="81"/>
      <c r="Z12" s="91"/>
      <c r="AA12" s="105">
        <v>100</v>
      </c>
      <c r="AB12" s="81">
        <v>3</v>
      </c>
      <c r="AC12" s="374" t="s">
        <v>1532</v>
      </c>
      <c r="AD12" s="373" t="s">
        <v>1533</v>
      </c>
      <c r="AE12" s="81"/>
    </row>
    <row r="13" spans="1:31" ht="30" x14ac:dyDescent="0.25">
      <c r="A13" s="103" t="s">
        <v>1514</v>
      </c>
      <c r="B13" s="78">
        <v>12</v>
      </c>
      <c r="C13" s="359">
        <v>46136</v>
      </c>
      <c r="D13" s="95" t="s">
        <v>1527</v>
      </c>
      <c r="E13" s="92"/>
      <c r="F13" s="94">
        <v>1</v>
      </c>
      <c r="G13" s="94" t="s">
        <v>1530</v>
      </c>
      <c r="H13" s="95" t="s">
        <v>1511</v>
      </c>
      <c r="I13" s="85">
        <v>45</v>
      </c>
      <c r="J13" s="92" t="s">
        <v>1283</v>
      </c>
      <c r="K13" s="94" t="s">
        <v>1283</v>
      </c>
      <c r="L13" s="95" t="s">
        <v>1283</v>
      </c>
      <c r="M13" s="87"/>
      <c r="N13" s="78"/>
      <c r="O13" s="83"/>
      <c r="P13" s="90">
        <v>1</v>
      </c>
      <c r="Q13" s="81">
        <v>7</v>
      </c>
      <c r="R13" s="81">
        <v>-6</v>
      </c>
      <c r="S13" s="81">
        <v>30</v>
      </c>
      <c r="T13" s="361">
        <v>0.2</v>
      </c>
      <c r="U13" s="81"/>
      <c r="V13" s="81"/>
      <c r="W13" s="81"/>
      <c r="X13" s="81">
        <v>250</v>
      </c>
      <c r="Y13" s="81"/>
      <c r="Z13" s="91"/>
      <c r="AA13" s="105">
        <v>100</v>
      </c>
      <c r="AB13" s="81">
        <v>4</v>
      </c>
      <c r="AC13" s="372" t="s">
        <v>1548</v>
      </c>
      <c r="AD13" s="373" t="s">
        <v>1552</v>
      </c>
      <c r="AE13" s="81"/>
    </row>
    <row r="14" spans="1:31" ht="30" x14ac:dyDescent="0.25">
      <c r="A14" s="103" t="s">
        <v>1514</v>
      </c>
      <c r="B14" s="78">
        <v>13</v>
      </c>
      <c r="C14" s="359">
        <v>46136</v>
      </c>
      <c r="D14" s="95" t="s">
        <v>1527</v>
      </c>
      <c r="E14" s="92"/>
      <c r="F14" s="94">
        <v>1</v>
      </c>
      <c r="G14" s="94" t="s">
        <v>1530</v>
      </c>
      <c r="H14" s="95" t="s">
        <v>1511</v>
      </c>
      <c r="I14" s="85">
        <v>45</v>
      </c>
      <c r="J14" s="92" t="s">
        <v>1283</v>
      </c>
      <c r="K14" s="94" t="s">
        <v>1283</v>
      </c>
      <c r="L14" s="95" t="s">
        <v>1283</v>
      </c>
      <c r="M14" s="87"/>
      <c r="N14" s="78"/>
      <c r="O14" s="83"/>
      <c r="P14" s="90">
        <v>0.6</v>
      </c>
      <c r="Q14" s="81">
        <v>7</v>
      </c>
      <c r="R14" s="81">
        <v>-6</v>
      </c>
      <c r="S14" s="81">
        <v>30</v>
      </c>
      <c r="T14" s="361">
        <v>0.2</v>
      </c>
      <c r="U14" s="81"/>
      <c r="V14" s="81"/>
      <c r="W14" s="81"/>
      <c r="X14" s="81">
        <v>250</v>
      </c>
      <c r="Y14" s="81"/>
      <c r="Z14" s="91"/>
      <c r="AA14" s="105">
        <v>100</v>
      </c>
      <c r="AB14" s="81">
        <v>4</v>
      </c>
      <c r="AC14" s="372" t="s">
        <v>1548</v>
      </c>
      <c r="AD14" s="373" t="s">
        <v>1553</v>
      </c>
      <c r="AE14" s="81"/>
    </row>
    <row r="15" spans="1:31" ht="30" x14ac:dyDescent="0.25">
      <c r="A15" s="103" t="s">
        <v>1514</v>
      </c>
      <c r="B15" s="78">
        <v>14</v>
      </c>
      <c r="C15" s="359">
        <v>46139</v>
      </c>
      <c r="D15" s="95" t="s">
        <v>1557</v>
      </c>
      <c r="E15" s="92"/>
      <c r="F15" s="94">
        <v>1</v>
      </c>
      <c r="G15" s="94" t="s">
        <v>1530</v>
      </c>
      <c r="H15" s="95" t="s">
        <v>1511</v>
      </c>
      <c r="I15" s="85">
        <v>60</v>
      </c>
      <c r="J15" s="92" t="s">
        <v>1283</v>
      </c>
      <c r="K15" s="94" t="s">
        <v>1283</v>
      </c>
      <c r="L15" s="95" t="s">
        <v>1283</v>
      </c>
      <c r="M15" s="87"/>
      <c r="N15" s="78"/>
      <c r="O15" s="83"/>
      <c r="P15" s="90">
        <v>0.6</v>
      </c>
      <c r="Q15" s="81">
        <v>9</v>
      </c>
      <c r="R15" s="81">
        <v>-9</v>
      </c>
      <c r="S15" s="81">
        <v>30</v>
      </c>
      <c r="T15" s="361">
        <v>0.2</v>
      </c>
      <c r="U15" s="81"/>
      <c r="V15" s="81"/>
      <c r="W15" s="81"/>
      <c r="X15" s="81">
        <v>250</v>
      </c>
      <c r="Y15" s="81"/>
      <c r="Z15" s="91"/>
      <c r="AA15" s="105">
        <v>100</v>
      </c>
      <c r="AB15" s="81">
        <v>3</v>
      </c>
      <c r="AC15" s="379" t="s">
        <v>1558</v>
      </c>
      <c r="AD15" s="373" t="s">
        <v>1552</v>
      </c>
      <c r="AE15" s="81"/>
    </row>
    <row r="16" spans="1:31" ht="30" x14ac:dyDescent="0.25">
      <c r="A16" s="381" t="s">
        <v>1555</v>
      </c>
      <c r="B16" s="78">
        <v>15</v>
      </c>
      <c r="C16" s="382">
        <v>46140</v>
      </c>
      <c r="D16" s="383" t="s">
        <v>1559</v>
      </c>
      <c r="E16" s="384"/>
      <c r="F16" s="385">
        <v>1</v>
      </c>
      <c r="G16" s="385" t="s">
        <v>1529</v>
      </c>
      <c r="H16" s="383" t="s">
        <v>1511</v>
      </c>
      <c r="I16" s="85">
        <v>30</v>
      </c>
      <c r="J16" s="384"/>
      <c r="K16" s="385"/>
      <c r="L16" s="383"/>
      <c r="M16" s="87"/>
      <c r="N16" s="78"/>
      <c r="O16" s="83"/>
      <c r="P16" s="386">
        <v>0.6</v>
      </c>
      <c r="Q16" s="387">
        <v>7</v>
      </c>
      <c r="R16" s="387">
        <v>-6</v>
      </c>
      <c r="S16" s="387" t="s">
        <v>1560</v>
      </c>
      <c r="T16" s="387" t="s">
        <v>1561</v>
      </c>
      <c r="U16" s="387"/>
      <c r="V16" s="387"/>
      <c r="W16" s="387"/>
      <c r="X16" s="387">
        <v>250</v>
      </c>
      <c r="Y16" s="387"/>
      <c r="Z16" s="388"/>
      <c r="AA16" s="389">
        <v>100</v>
      </c>
      <c r="AB16" s="387">
        <v>4</v>
      </c>
      <c r="AC16" s="390" t="s">
        <v>1562</v>
      </c>
      <c r="AD16" s="391" t="s">
        <v>1571</v>
      </c>
      <c r="AE16" s="81"/>
    </row>
    <row r="17" spans="1:31" ht="60" x14ac:dyDescent="0.25">
      <c r="A17" s="103" t="s">
        <v>1555</v>
      </c>
      <c r="B17" s="78">
        <v>16</v>
      </c>
      <c r="C17" s="359">
        <v>46140</v>
      </c>
      <c r="D17" s="95" t="s">
        <v>1563</v>
      </c>
      <c r="E17" s="92"/>
      <c r="F17" s="94">
        <v>1</v>
      </c>
      <c r="G17" s="94" t="s">
        <v>1529</v>
      </c>
      <c r="H17" s="95" t="s">
        <v>1511</v>
      </c>
      <c r="I17" s="85">
        <v>45</v>
      </c>
      <c r="J17" s="92"/>
      <c r="K17" s="94"/>
      <c r="L17" s="95"/>
      <c r="M17" s="87"/>
      <c r="N17" s="78"/>
      <c r="O17" s="83"/>
      <c r="P17" s="90">
        <v>0.6</v>
      </c>
      <c r="Q17" s="81">
        <v>9</v>
      </c>
      <c r="R17" s="81">
        <v>-9</v>
      </c>
      <c r="S17" s="81" t="s">
        <v>1560</v>
      </c>
      <c r="T17" s="81" t="s">
        <v>1561</v>
      </c>
      <c r="U17" s="81"/>
      <c r="V17" s="81"/>
      <c r="W17" s="81"/>
      <c r="X17" s="81">
        <v>250</v>
      </c>
      <c r="Y17" s="81"/>
      <c r="Z17" s="91"/>
      <c r="AA17" s="105">
        <v>100</v>
      </c>
      <c r="AB17" s="81">
        <v>4</v>
      </c>
      <c r="AC17" s="380" t="s">
        <v>1564</v>
      </c>
      <c r="AD17" s="376" t="s">
        <v>1566</v>
      </c>
      <c r="AE17" s="81"/>
    </row>
    <row r="18" spans="1:31" ht="45" x14ac:dyDescent="0.25">
      <c r="A18" s="103" t="s">
        <v>1555</v>
      </c>
      <c r="B18" s="78">
        <v>17</v>
      </c>
      <c r="C18" s="359">
        <v>46140</v>
      </c>
      <c r="D18" s="95" t="s">
        <v>1565</v>
      </c>
      <c r="E18" s="92"/>
      <c r="F18" s="94">
        <v>1</v>
      </c>
      <c r="G18" s="94" t="s">
        <v>1529</v>
      </c>
      <c r="H18" s="95" t="s">
        <v>1511</v>
      </c>
      <c r="I18" s="85"/>
      <c r="J18" s="92"/>
      <c r="K18" s="94"/>
      <c r="L18" s="95"/>
      <c r="M18" s="87"/>
      <c r="N18" s="78"/>
      <c r="O18" s="83"/>
      <c r="P18" s="90">
        <v>0.4</v>
      </c>
      <c r="Q18" s="81">
        <v>7</v>
      </c>
      <c r="R18" s="81">
        <v>-6</v>
      </c>
      <c r="S18" s="81" t="s">
        <v>1560</v>
      </c>
      <c r="T18" s="81" t="s">
        <v>1561</v>
      </c>
      <c r="U18" s="81"/>
      <c r="V18" s="81"/>
      <c r="W18" s="81"/>
      <c r="X18" s="81">
        <v>250</v>
      </c>
      <c r="Y18" s="81"/>
      <c r="Z18" s="91"/>
      <c r="AA18" s="105">
        <v>100</v>
      </c>
      <c r="AB18" s="81">
        <v>4</v>
      </c>
      <c r="AC18" s="372" t="s">
        <v>1567</v>
      </c>
      <c r="AD18" s="376" t="s">
        <v>1570</v>
      </c>
      <c r="AE18" s="81"/>
    </row>
    <row r="19" spans="1:31" ht="45" x14ac:dyDescent="0.25">
      <c r="A19" s="103" t="s">
        <v>1572</v>
      </c>
      <c r="B19" s="78">
        <v>18</v>
      </c>
      <c r="C19" s="359">
        <v>46142</v>
      </c>
      <c r="D19" s="95" t="s">
        <v>1574</v>
      </c>
      <c r="E19" s="92"/>
      <c r="F19" s="94">
        <v>20</v>
      </c>
      <c r="G19" s="94" t="s">
        <v>1529</v>
      </c>
      <c r="H19" s="95" t="s">
        <v>1575</v>
      </c>
      <c r="I19" s="85"/>
      <c r="J19" s="92"/>
      <c r="K19" s="94"/>
      <c r="L19" s="95"/>
      <c r="M19" s="87"/>
      <c r="N19" s="78"/>
      <c r="O19" s="83"/>
      <c r="P19" s="90" t="s">
        <v>1576</v>
      </c>
      <c r="Q19" s="81">
        <v>19</v>
      </c>
      <c r="R19" s="81">
        <v>-16</v>
      </c>
      <c r="S19" s="81">
        <v>30</v>
      </c>
      <c r="T19" s="81" t="s">
        <v>1561</v>
      </c>
      <c r="U19" s="81"/>
      <c r="V19" s="81"/>
      <c r="W19" s="81"/>
      <c r="X19" s="81">
        <v>250</v>
      </c>
      <c r="Y19" s="81"/>
      <c r="Z19" s="91"/>
      <c r="AA19" s="105">
        <v>100</v>
      </c>
      <c r="AB19" s="81">
        <v>3</v>
      </c>
      <c r="AC19" s="124" t="s">
        <v>1577</v>
      </c>
      <c r="AD19" s="105" t="s">
        <v>1593</v>
      </c>
      <c r="AE19" s="81"/>
    </row>
    <row r="20" spans="1:31" ht="135" x14ac:dyDescent="0.25">
      <c r="A20" s="103" t="s">
        <v>1572</v>
      </c>
      <c r="B20" s="78">
        <v>19</v>
      </c>
      <c r="C20" s="359">
        <v>46147</v>
      </c>
      <c r="D20" s="95" t="s">
        <v>1578</v>
      </c>
      <c r="E20" s="92"/>
      <c r="F20" s="94" t="s">
        <v>1582</v>
      </c>
      <c r="G20" s="94" t="s">
        <v>1529</v>
      </c>
      <c r="H20" s="95" t="s">
        <v>1575</v>
      </c>
      <c r="I20" s="404" t="s">
        <v>1283</v>
      </c>
      <c r="J20" s="92"/>
      <c r="K20" s="94"/>
      <c r="L20" s="95"/>
      <c r="M20" s="405"/>
      <c r="N20" s="402">
        <v>1</v>
      </c>
      <c r="O20" s="83"/>
      <c r="P20" s="90" t="s">
        <v>1580</v>
      </c>
      <c r="Q20" s="81">
        <v>24</v>
      </c>
      <c r="R20" s="81">
        <v>-20</v>
      </c>
      <c r="S20" s="81">
        <v>30</v>
      </c>
      <c r="T20" s="81" t="s">
        <v>1561</v>
      </c>
      <c r="U20" s="81" t="s">
        <v>1581</v>
      </c>
      <c r="V20" s="81">
        <v>10</v>
      </c>
      <c r="W20" s="81">
        <v>50</v>
      </c>
      <c r="X20" s="81">
        <v>250</v>
      </c>
      <c r="Y20" s="81"/>
      <c r="Z20" s="91"/>
      <c r="AA20" s="105">
        <v>120</v>
      </c>
      <c r="AB20" s="81">
        <v>2</v>
      </c>
      <c r="AC20" s="124" t="s">
        <v>1584</v>
      </c>
      <c r="AD20" s="105" t="s">
        <v>1594</v>
      </c>
      <c r="AE20" s="81"/>
    </row>
    <row r="21" spans="1:31" ht="45" x14ac:dyDescent="0.25">
      <c r="A21" s="103" t="s">
        <v>1572</v>
      </c>
      <c r="B21" s="78">
        <v>20</v>
      </c>
      <c r="C21" s="359">
        <v>46147</v>
      </c>
      <c r="D21" s="95" t="s">
        <v>1578</v>
      </c>
      <c r="E21" s="92"/>
      <c r="F21" s="94" t="s">
        <v>1582</v>
      </c>
      <c r="G21" s="94" t="s">
        <v>1529</v>
      </c>
      <c r="H21" s="95" t="s">
        <v>1575</v>
      </c>
      <c r="I21" s="404" t="s">
        <v>1283</v>
      </c>
      <c r="J21" s="92"/>
      <c r="K21" s="94"/>
      <c r="L21" s="95"/>
      <c r="M21" s="405"/>
      <c r="N21" s="402">
        <v>1</v>
      </c>
      <c r="O21" s="83"/>
      <c r="P21" s="90" t="s">
        <v>1580</v>
      </c>
      <c r="Q21" s="81">
        <v>26</v>
      </c>
      <c r="R21" s="81">
        <v>-22</v>
      </c>
      <c r="S21" s="81">
        <v>30</v>
      </c>
      <c r="T21" s="81" t="s">
        <v>1561</v>
      </c>
      <c r="U21" s="81" t="s">
        <v>1581</v>
      </c>
      <c r="V21" s="81">
        <v>10</v>
      </c>
      <c r="W21" s="81">
        <v>50</v>
      </c>
      <c r="X21" s="81">
        <v>250</v>
      </c>
      <c r="Y21" s="81"/>
      <c r="Z21" s="91"/>
      <c r="AA21" s="105">
        <v>120</v>
      </c>
      <c r="AB21" s="81">
        <v>2</v>
      </c>
      <c r="AC21" s="124" t="s">
        <v>1583</v>
      </c>
      <c r="AD21" s="105" t="s">
        <v>1594</v>
      </c>
      <c r="AE21" s="81"/>
    </row>
    <row r="22" spans="1:31" ht="90" x14ac:dyDescent="0.25">
      <c r="A22" s="103" t="s">
        <v>1572</v>
      </c>
      <c r="B22" s="78">
        <v>21</v>
      </c>
      <c r="C22" s="359">
        <v>46147</v>
      </c>
      <c r="D22" s="95" t="s">
        <v>1578</v>
      </c>
      <c r="E22" s="92"/>
      <c r="F22" s="94" t="s">
        <v>1582</v>
      </c>
      <c r="G22" s="94" t="s">
        <v>1529</v>
      </c>
      <c r="H22" s="95" t="s">
        <v>1575</v>
      </c>
      <c r="I22" s="404" t="s">
        <v>1283</v>
      </c>
      <c r="J22" s="92"/>
      <c r="K22" s="94"/>
      <c r="L22" s="95"/>
      <c r="M22" s="405"/>
      <c r="N22" s="402">
        <v>1</v>
      </c>
      <c r="O22" s="83"/>
      <c r="P22" s="90" t="s">
        <v>1580</v>
      </c>
      <c r="Q22" s="81">
        <v>24</v>
      </c>
      <c r="R22" s="81">
        <v>-20</v>
      </c>
      <c r="S22" s="81">
        <v>30</v>
      </c>
      <c r="T22" s="81" t="s">
        <v>1561</v>
      </c>
      <c r="U22" s="81" t="s">
        <v>1581</v>
      </c>
      <c r="V22" s="81">
        <v>10</v>
      </c>
      <c r="W22" s="81">
        <v>50</v>
      </c>
      <c r="X22" s="81">
        <v>250</v>
      </c>
      <c r="Y22" s="81"/>
      <c r="Z22" s="91"/>
      <c r="AA22" s="105">
        <v>120</v>
      </c>
      <c r="AB22" s="81">
        <v>3</v>
      </c>
      <c r="AC22" s="124" t="s">
        <v>1585</v>
      </c>
      <c r="AD22" s="105" t="s">
        <v>1595</v>
      </c>
      <c r="AE22" s="81"/>
    </row>
    <row r="23" spans="1:31" ht="60" x14ac:dyDescent="0.25">
      <c r="A23" s="103" t="s">
        <v>1572</v>
      </c>
      <c r="B23" s="78">
        <v>22</v>
      </c>
      <c r="C23" s="359">
        <v>46147</v>
      </c>
      <c r="D23" s="95" t="s">
        <v>1579</v>
      </c>
      <c r="E23" s="92"/>
      <c r="F23" s="94" t="s">
        <v>1582</v>
      </c>
      <c r="G23" s="94" t="s">
        <v>1529</v>
      </c>
      <c r="H23" s="95" t="s">
        <v>1575</v>
      </c>
      <c r="I23" s="404">
        <v>9</v>
      </c>
      <c r="J23" s="92"/>
      <c r="K23" s="94"/>
      <c r="L23" s="95"/>
      <c r="M23" s="405"/>
      <c r="N23" s="402" t="s">
        <v>1283</v>
      </c>
      <c r="O23" s="83"/>
      <c r="P23" s="90" t="s">
        <v>1580</v>
      </c>
      <c r="Q23" s="81">
        <v>24</v>
      </c>
      <c r="R23" s="81">
        <v>-20</v>
      </c>
      <c r="S23" s="81">
        <v>30</v>
      </c>
      <c r="T23" s="81" t="s">
        <v>1561</v>
      </c>
      <c r="U23" s="81" t="s">
        <v>1283</v>
      </c>
      <c r="V23" s="81" t="s">
        <v>1283</v>
      </c>
      <c r="W23" s="81" t="s">
        <v>1283</v>
      </c>
      <c r="X23" s="81">
        <v>250</v>
      </c>
      <c r="Y23" s="81"/>
      <c r="Z23" s="91"/>
      <c r="AA23" s="105">
        <v>120</v>
      </c>
      <c r="AB23" s="81">
        <v>2</v>
      </c>
      <c r="AC23" s="124" t="s">
        <v>1586</v>
      </c>
      <c r="AD23" s="105" t="s">
        <v>1596</v>
      </c>
      <c r="AE23" s="81"/>
    </row>
    <row r="24" spans="1:31" ht="75" x14ac:dyDescent="0.25">
      <c r="A24" s="103" t="s">
        <v>1589</v>
      </c>
      <c r="B24" s="78">
        <v>23</v>
      </c>
      <c r="C24" s="359">
        <v>46148</v>
      </c>
      <c r="D24" s="95" t="s">
        <v>1590</v>
      </c>
      <c r="E24" s="92"/>
      <c r="F24" s="94" t="s">
        <v>1582</v>
      </c>
      <c r="G24" s="94" t="s">
        <v>1529</v>
      </c>
      <c r="H24" s="95" t="s">
        <v>1575</v>
      </c>
      <c r="I24" s="404" t="s">
        <v>1283</v>
      </c>
      <c r="J24" s="92"/>
      <c r="K24" s="94"/>
      <c r="L24" s="95"/>
      <c r="M24" s="405"/>
      <c r="N24" s="402">
        <v>0.5</v>
      </c>
      <c r="O24" s="83"/>
      <c r="P24" s="90" t="s">
        <v>1580</v>
      </c>
      <c r="Q24" s="81">
        <v>21</v>
      </c>
      <c r="R24" s="81">
        <v>-20</v>
      </c>
      <c r="S24" s="81">
        <v>30</v>
      </c>
      <c r="T24" s="361">
        <v>0.2</v>
      </c>
      <c r="U24" s="81" t="s">
        <v>1591</v>
      </c>
      <c r="V24" s="81">
        <v>10</v>
      </c>
      <c r="W24" s="81">
        <v>100</v>
      </c>
      <c r="X24" s="81">
        <v>250</v>
      </c>
      <c r="Y24" s="81"/>
      <c r="Z24" s="91"/>
      <c r="AA24" s="105">
        <v>120</v>
      </c>
      <c r="AB24" s="81">
        <v>3</v>
      </c>
      <c r="AC24" s="124" t="s">
        <v>1592</v>
      </c>
      <c r="AD24" s="105" t="s">
        <v>1597</v>
      </c>
      <c r="AE24" s="81"/>
    </row>
    <row r="25" spans="1:31" ht="60" x14ac:dyDescent="0.25">
      <c r="A25" s="103" t="s">
        <v>1589</v>
      </c>
      <c r="B25" s="78">
        <v>24</v>
      </c>
      <c r="C25" s="359">
        <v>46149</v>
      </c>
      <c r="D25" s="95" t="s">
        <v>1605</v>
      </c>
      <c r="E25" s="92"/>
      <c r="F25" s="94" t="s">
        <v>1599</v>
      </c>
      <c r="G25" s="94" t="s">
        <v>1529</v>
      </c>
      <c r="H25" s="95" t="s">
        <v>1575</v>
      </c>
      <c r="I25" s="404" t="s">
        <v>1283</v>
      </c>
      <c r="J25" s="92"/>
      <c r="K25" s="94"/>
      <c r="L25" s="95"/>
      <c r="M25" s="405"/>
      <c r="N25" s="402">
        <v>0.2</v>
      </c>
      <c r="O25" s="83"/>
      <c r="P25" s="90" t="s">
        <v>1580</v>
      </c>
      <c r="Q25" s="81">
        <v>21</v>
      </c>
      <c r="R25" s="81">
        <v>-20</v>
      </c>
      <c r="S25" s="81">
        <v>30</v>
      </c>
      <c r="T25" s="361">
        <v>0.2</v>
      </c>
      <c r="U25" s="81" t="s">
        <v>1600</v>
      </c>
      <c r="V25" s="81">
        <v>10</v>
      </c>
      <c r="W25" s="81">
        <v>200</v>
      </c>
      <c r="X25" s="81">
        <v>250</v>
      </c>
      <c r="Y25" s="81"/>
      <c r="Z25" s="91"/>
      <c r="AA25" s="105">
        <v>120</v>
      </c>
      <c r="AB25" s="81">
        <v>3</v>
      </c>
      <c r="AC25" s="124" t="s">
        <v>1601</v>
      </c>
      <c r="AD25" s="105" t="s">
        <v>1618</v>
      </c>
      <c r="AE25" s="81"/>
    </row>
    <row r="26" spans="1:31" ht="75" x14ac:dyDescent="0.25">
      <c r="A26" s="103" t="s">
        <v>1589</v>
      </c>
      <c r="B26" s="78">
        <v>25</v>
      </c>
      <c r="C26" s="359">
        <v>46150</v>
      </c>
      <c r="D26" s="95" t="s">
        <v>1606</v>
      </c>
      <c r="E26" s="92"/>
      <c r="F26" s="94" t="s">
        <v>1602</v>
      </c>
      <c r="G26" s="94" t="s">
        <v>1529</v>
      </c>
      <c r="H26" s="95" t="s">
        <v>1575</v>
      </c>
      <c r="I26" s="404" t="s">
        <v>1283</v>
      </c>
      <c r="J26" s="92"/>
      <c r="K26" s="94"/>
      <c r="L26" s="95"/>
      <c r="M26" s="405"/>
      <c r="N26" s="402">
        <v>0.5</v>
      </c>
      <c r="O26" s="83"/>
      <c r="P26" s="90" t="s">
        <v>1580</v>
      </c>
      <c r="Q26" s="81">
        <v>22</v>
      </c>
      <c r="R26" s="81">
        <v>-17</v>
      </c>
      <c r="S26" s="81">
        <v>30</v>
      </c>
      <c r="T26" s="361">
        <v>0.2</v>
      </c>
      <c r="U26" s="81" t="s">
        <v>1600</v>
      </c>
      <c r="V26" s="81">
        <v>10</v>
      </c>
      <c r="W26" s="81">
        <v>200</v>
      </c>
      <c r="X26" s="81">
        <v>250</v>
      </c>
      <c r="Y26" s="81"/>
      <c r="Z26" s="91"/>
      <c r="AA26" s="105">
        <v>120</v>
      </c>
      <c r="AB26" s="81">
        <v>3</v>
      </c>
      <c r="AC26" s="124" t="s">
        <v>1613</v>
      </c>
      <c r="AD26" s="105" t="s">
        <v>1619</v>
      </c>
      <c r="AE26" s="81" t="e" vm="1">
        <v>#VALUE!</v>
      </c>
    </row>
    <row r="27" spans="1:31" ht="45" x14ac:dyDescent="0.25">
      <c r="A27" s="103" t="s">
        <v>1589</v>
      </c>
      <c r="B27" s="78">
        <v>26</v>
      </c>
      <c r="C27" s="359">
        <v>46150</v>
      </c>
      <c r="D27" s="95" t="s">
        <v>1603</v>
      </c>
      <c r="E27" s="92"/>
      <c r="F27" s="94" t="s">
        <v>1602</v>
      </c>
      <c r="G27" s="94" t="s">
        <v>1529</v>
      </c>
      <c r="H27" s="95" t="s">
        <v>1575</v>
      </c>
      <c r="I27" s="404" t="s">
        <v>1283</v>
      </c>
      <c r="J27" s="92"/>
      <c r="K27" s="94"/>
      <c r="L27" s="95"/>
      <c r="M27" s="405"/>
      <c r="N27" s="402">
        <v>0.5</v>
      </c>
      <c r="O27" s="83"/>
      <c r="P27" s="90" t="s">
        <v>1576</v>
      </c>
      <c r="Q27" s="81">
        <v>22</v>
      </c>
      <c r="R27" s="81">
        <v>-20</v>
      </c>
      <c r="S27" s="81">
        <v>30</v>
      </c>
      <c r="T27" s="361">
        <v>0.2</v>
      </c>
      <c r="U27" s="81" t="s">
        <v>1600</v>
      </c>
      <c r="V27" s="81">
        <v>10</v>
      </c>
      <c r="W27" s="81">
        <v>200</v>
      </c>
      <c r="X27" s="81">
        <v>250</v>
      </c>
      <c r="Y27" s="81"/>
      <c r="Z27" s="91"/>
      <c r="AA27" s="105">
        <v>120</v>
      </c>
      <c r="AB27" s="81">
        <v>3</v>
      </c>
      <c r="AC27" s="124" t="s">
        <v>1604</v>
      </c>
      <c r="AD27" s="105" t="s">
        <v>1620</v>
      </c>
      <c r="AE27" s="81"/>
    </row>
    <row r="28" spans="1:31" ht="120" x14ac:dyDescent="0.25">
      <c r="A28" s="103" t="s">
        <v>1589</v>
      </c>
      <c r="B28" s="78">
        <v>27</v>
      </c>
      <c r="C28" s="359">
        <v>46153</v>
      </c>
      <c r="D28" s="95" t="s">
        <v>1607</v>
      </c>
      <c r="E28" s="92"/>
      <c r="F28" s="94" t="s">
        <v>1602</v>
      </c>
      <c r="G28" s="94" t="s">
        <v>1529</v>
      </c>
      <c r="H28" s="95" t="s">
        <v>1609</v>
      </c>
      <c r="I28" s="404" t="s">
        <v>1283</v>
      </c>
      <c r="J28" s="92"/>
      <c r="K28" s="94"/>
      <c r="L28" s="95"/>
      <c r="M28" s="405"/>
      <c r="N28" s="402">
        <v>0.5</v>
      </c>
      <c r="O28" s="83"/>
      <c r="P28" s="90" t="s">
        <v>1580</v>
      </c>
      <c r="Q28" s="81">
        <v>22</v>
      </c>
      <c r="R28" s="81">
        <v>-19</v>
      </c>
      <c r="S28" s="81">
        <v>30</v>
      </c>
      <c r="T28" s="361">
        <v>0.2</v>
      </c>
      <c r="U28" s="81" t="s">
        <v>1600</v>
      </c>
      <c r="V28" s="81">
        <v>10</v>
      </c>
      <c r="W28" s="81">
        <v>200</v>
      </c>
      <c r="X28" s="81">
        <v>250</v>
      </c>
      <c r="Y28" s="81"/>
      <c r="Z28" s="91"/>
      <c r="AA28" s="105">
        <v>120</v>
      </c>
      <c r="AB28" s="81">
        <v>2</v>
      </c>
      <c r="AC28" s="124" t="s">
        <v>1631</v>
      </c>
      <c r="AD28" s="105" t="s">
        <v>1616</v>
      </c>
      <c r="AE28" s="81" t="e" vm="2">
        <v>#VALUE!</v>
      </c>
    </row>
    <row r="29" spans="1:31" ht="90" x14ac:dyDescent="0.25">
      <c r="A29" s="103" t="s">
        <v>1589</v>
      </c>
      <c r="B29" s="78">
        <v>28</v>
      </c>
      <c r="C29" s="359">
        <v>46153</v>
      </c>
      <c r="D29" s="95" t="s">
        <v>1608</v>
      </c>
      <c r="E29" s="92"/>
      <c r="F29" s="94" t="s">
        <v>1602</v>
      </c>
      <c r="G29" s="94" t="s">
        <v>1529</v>
      </c>
      <c r="H29" s="95" t="s">
        <v>1610</v>
      </c>
      <c r="I29" s="404" t="s">
        <v>1283</v>
      </c>
      <c r="J29" s="92"/>
      <c r="K29" s="94"/>
      <c r="L29" s="95"/>
      <c r="M29" s="405"/>
      <c r="N29" s="402">
        <v>0.5</v>
      </c>
      <c r="O29" s="83"/>
      <c r="P29" s="90" t="s">
        <v>1580</v>
      </c>
      <c r="Q29" s="81">
        <v>22</v>
      </c>
      <c r="R29" s="81">
        <v>-20</v>
      </c>
      <c r="S29" s="81">
        <v>30</v>
      </c>
      <c r="T29" s="361">
        <v>0.2</v>
      </c>
      <c r="U29" s="81" t="s">
        <v>1611</v>
      </c>
      <c r="V29" s="81">
        <v>10</v>
      </c>
      <c r="W29" s="81">
        <v>120</v>
      </c>
      <c r="X29" s="81">
        <v>250</v>
      </c>
      <c r="Y29" s="81"/>
      <c r="Z29" s="91"/>
      <c r="AA29" s="105">
        <v>120</v>
      </c>
      <c r="AB29" s="81">
        <v>3</v>
      </c>
      <c r="AC29" s="124" t="s">
        <v>1612</v>
      </c>
      <c r="AD29" s="105" t="s">
        <v>1617</v>
      </c>
      <c r="AE29" s="81" t="e" vm="3">
        <v>#VALUE!</v>
      </c>
    </row>
    <row r="30" spans="1:31" ht="75" x14ac:dyDescent="0.25">
      <c r="A30" s="103" t="s">
        <v>1589</v>
      </c>
      <c r="B30" s="78">
        <v>29</v>
      </c>
      <c r="C30" s="359">
        <v>46156</v>
      </c>
      <c r="D30" s="95" t="s">
        <v>1621</v>
      </c>
      <c r="E30" s="92"/>
      <c r="F30" s="94" t="s">
        <v>1623</v>
      </c>
      <c r="G30" s="94" t="s">
        <v>1529</v>
      </c>
      <c r="H30" s="95" t="s">
        <v>1624</v>
      </c>
      <c r="I30" s="404" t="s">
        <v>1283</v>
      </c>
      <c r="J30" s="92"/>
      <c r="K30" s="94"/>
      <c r="L30" s="95"/>
      <c r="M30" s="405"/>
      <c r="N30" s="402">
        <v>0.26400000000000001</v>
      </c>
      <c r="O30" s="83"/>
      <c r="P30" s="90" t="s">
        <v>1580</v>
      </c>
      <c r="Q30" s="81" t="s">
        <v>1625</v>
      </c>
      <c r="R30" s="81">
        <v>-20</v>
      </c>
      <c r="S30" s="81">
        <v>30</v>
      </c>
      <c r="T30" s="81" t="s">
        <v>1626</v>
      </c>
      <c r="U30" s="81" t="s">
        <v>1627</v>
      </c>
      <c r="V30" s="81">
        <v>2</v>
      </c>
      <c r="W30" s="81">
        <v>10</v>
      </c>
      <c r="X30" s="81">
        <v>257</v>
      </c>
      <c r="Y30" s="81"/>
      <c r="Z30" s="91"/>
      <c r="AA30" s="105">
        <v>100</v>
      </c>
      <c r="AB30" s="81">
        <v>3</v>
      </c>
      <c r="AC30" s="124" t="s">
        <v>1630</v>
      </c>
      <c r="AD30" s="105"/>
      <c r="AE30" s="81"/>
    </row>
    <row r="31" spans="1:31" ht="60" x14ac:dyDescent="0.25">
      <c r="A31" s="103" t="s">
        <v>1589</v>
      </c>
      <c r="B31" s="78">
        <v>30</v>
      </c>
      <c r="C31" s="359">
        <v>46156</v>
      </c>
      <c r="D31" s="95" t="s">
        <v>1622</v>
      </c>
      <c r="E31" s="92"/>
      <c r="F31" s="94" t="s">
        <v>1623</v>
      </c>
      <c r="G31" s="94" t="s">
        <v>1529</v>
      </c>
      <c r="H31" s="95" t="s">
        <v>1624</v>
      </c>
      <c r="I31" s="404" t="s">
        <v>1283</v>
      </c>
      <c r="J31" s="92"/>
      <c r="K31" s="94"/>
      <c r="L31" s="95"/>
      <c r="M31" s="405"/>
      <c r="N31" s="402">
        <v>0.26400000000000001</v>
      </c>
      <c r="O31" s="83"/>
      <c r="P31" s="90" t="s">
        <v>1580</v>
      </c>
      <c r="Q31" s="81" t="s">
        <v>1625</v>
      </c>
      <c r="R31" s="81">
        <v>-20</v>
      </c>
      <c r="S31" s="81">
        <v>30</v>
      </c>
      <c r="T31" s="81" t="s">
        <v>1626</v>
      </c>
      <c r="U31" s="81">
        <v>250</v>
      </c>
      <c r="V31" s="81" t="s">
        <v>1283</v>
      </c>
      <c r="W31" s="81" t="s">
        <v>1283</v>
      </c>
      <c r="X31" s="81">
        <v>257</v>
      </c>
      <c r="Y31" s="81"/>
      <c r="Z31" s="91"/>
      <c r="AA31" s="105" t="s">
        <v>1283</v>
      </c>
      <c r="AB31" s="81">
        <v>3</v>
      </c>
      <c r="AC31" s="124" t="s">
        <v>1628</v>
      </c>
      <c r="AD31" s="105"/>
      <c r="AE31" s="81"/>
    </row>
    <row r="32" spans="1:31" ht="45" x14ac:dyDescent="0.25">
      <c r="A32" s="103" t="s">
        <v>1589</v>
      </c>
      <c r="B32" s="78">
        <v>31</v>
      </c>
      <c r="C32" s="359">
        <v>46156</v>
      </c>
      <c r="D32" s="95" t="s">
        <v>1629</v>
      </c>
      <c r="E32" s="92"/>
      <c r="F32" s="94" t="s">
        <v>1623</v>
      </c>
      <c r="G32" s="94" t="s">
        <v>1529</v>
      </c>
      <c r="H32" s="95" t="s">
        <v>1624</v>
      </c>
      <c r="I32" s="404" t="s">
        <v>1283</v>
      </c>
      <c r="J32" s="92"/>
      <c r="K32" s="94"/>
      <c r="L32" s="95"/>
      <c r="M32" s="405"/>
      <c r="N32" s="402">
        <v>0.26400000000000001</v>
      </c>
      <c r="O32" s="83"/>
      <c r="P32" s="90" t="s">
        <v>1580</v>
      </c>
      <c r="Q32" s="81" t="s">
        <v>1625</v>
      </c>
      <c r="R32" s="81">
        <v>-20</v>
      </c>
      <c r="S32" s="81">
        <v>30</v>
      </c>
      <c r="T32" s="81" t="s">
        <v>1632</v>
      </c>
      <c r="U32" s="81" t="s">
        <v>1627</v>
      </c>
      <c r="V32" s="81">
        <v>2</v>
      </c>
      <c r="W32" s="81">
        <v>10</v>
      </c>
      <c r="X32" s="81">
        <v>257</v>
      </c>
      <c r="Y32" s="81"/>
      <c r="Z32" s="91"/>
      <c r="AA32" s="105">
        <v>100</v>
      </c>
      <c r="AB32" s="81">
        <v>3</v>
      </c>
      <c r="AC32" s="124" t="s">
        <v>1633</v>
      </c>
      <c r="AD32" s="105" t="s">
        <v>1656</v>
      </c>
      <c r="AE32" s="81"/>
    </row>
    <row r="33" spans="1:31" ht="45" x14ac:dyDescent="0.25">
      <c r="A33" s="103" t="s">
        <v>1589</v>
      </c>
      <c r="B33" s="78">
        <v>32</v>
      </c>
      <c r="C33" s="359">
        <v>46156</v>
      </c>
      <c r="D33" s="95" t="s">
        <v>1634</v>
      </c>
      <c r="E33" s="92"/>
      <c r="F33" s="94" t="s">
        <v>1623</v>
      </c>
      <c r="G33" s="94" t="s">
        <v>1529</v>
      </c>
      <c r="H33" s="95" t="s">
        <v>1609</v>
      </c>
      <c r="I33" s="404" t="s">
        <v>1283</v>
      </c>
      <c r="J33" s="92"/>
      <c r="K33" s="94"/>
      <c r="L33" s="95"/>
      <c r="M33" s="405"/>
      <c r="N33" s="402">
        <v>0.26400000000000001</v>
      </c>
      <c r="O33" s="83"/>
      <c r="P33" s="90" t="s">
        <v>1580</v>
      </c>
      <c r="Q33" s="81" t="s">
        <v>1637</v>
      </c>
      <c r="R33" s="81">
        <v>-18</v>
      </c>
      <c r="S33" s="81">
        <v>30</v>
      </c>
      <c r="T33" s="361">
        <v>0.18</v>
      </c>
      <c r="U33" s="81" t="s">
        <v>1627</v>
      </c>
      <c r="V33" s="81">
        <v>2</v>
      </c>
      <c r="W33" s="81">
        <v>10</v>
      </c>
      <c r="X33" s="81">
        <v>257</v>
      </c>
      <c r="Y33" s="81"/>
      <c r="Z33" s="91"/>
      <c r="AA33" s="105">
        <v>100</v>
      </c>
      <c r="AB33" s="81">
        <v>3</v>
      </c>
      <c r="AC33" s="124" t="s">
        <v>1638</v>
      </c>
      <c r="AD33" s="105"/>
      <c r="AE33" s="81"/>
    </row>
    <row r="34" spans="1:31" ht="75" x14ac:dyDescent="0.25">
      <c r="A34" s="103" t="s">
        <v>1589</v>
      </c>
      <c r="B34" s="78">
        <v>33</v>
      </c>
      <c r="C34" s="359">
        <v>46157</v>
      </c>
      <c r="D34" s="95" t="s">
        <v>1635</v>
      </c>
      <c r="E34" s="92"/>
      <c r="F34" s="94" t="s">
        <v>1623</v>
      </c>
      <c r="G34" s="94" t="s">
        <v>1529</v>
      </c>
      <c r="H34" s="95" t="s">
        <v>1609</v>
      </c>
      <c r="I34" s="404" t="s">
        <v>1283</v>
      </c>
      <c r="J34" s="92"/>
      <c r="K34" s="94"/>
      <c r="L34" s="95"/>
      <c r="M34" s="405"/>
      <c r="N34" s="402">
        <v>0.17299999999999999</v>
      </c>
      <c r="O34" s="83"/>
      <c r="P34" s="90" t="s">
        <v>1636</v>
      </c>
      <c r="Q34" s="81" t="s">
        <v>1642</v>
      </c>
      <c r="R34" s="81">
        <v>-18</v>
      </c>
      <c r="S34" s="81">
        <v>32</v>
      </c>
      <c r="T34" s="361">
        <v>0.16</v>
      </c>
      <c r="U34" s="81" t="s">
        <v>1627</v>
      </c>
      <c r="V34" s="81">
        <v>3</v>
      </c>
      <c r="W34" s="81">
        <v>10</v>
      </c>
      <c r="X34" s="81">
        <v>257</v>
      </c>
      <c r="Y34" s="81"/>
      <c r="Z34" s="91"/>
      <c r="AA34" s="105">
        <v>100</v>
      </c>
      <c r="AB34" s="81">
        <v>3</v>
      </c>
      <c r="AC34" s="124" t="s">
        <v>1639</v>
      </c>
      <c r="AD34" s="105"/>
      <c r="AE34" s="81"/>
    </row>
    <row r="35" spans="1:31" ht="225" x14ac:dyDescent="0.25">
      <c r="A35" s="103" t="s">
        <v>1615</v>
      </c>
      <c r="B35" s="78">
        <v>34</v>
      </c>
      <c r="C35" s="359">
        <v>46160</v>
      </c>
      <c r="D35" s="95" t="s">
        <v>1648</v>
      </c>
      <c r="E35" s="92"/>
      <c r="F35" s="94" t="s">
        <v>1643</v>
      </c>
      <c r="G35" s="94" t="s">
        <v>1529</v>
      </c>
      <c r="H35" s="95" t="s">
        <v>1609</v>
      </c>
      <c r="I35" s="404" t="s">
        <v>1283</v>
      </c>
      <c r="J35" s="92"/>
      <c r="K35" s="94"/>
      <c r="L35" s="95"/>
      <c r="M35" s="405"/>
      <c r="N35" s="403" t="s">
        <v>1647</v>
      </c>
      <c r="O35" s="83"/>
      <c r="P35" s="90" t="s">
        <v>1644</v>
      </c>
      <c r="Q35" s="81" t="s">
        <v>1645</v>
      </c>
      <c r="R35" s="81">
        <v>-24</v>
      </c>
      <c r="S35" s="81">
        <v>30</v>
      </c>
      <c r="T35" s="361">
        <v>0.2</v>
      </c>
      <c r="U35" s="81" t="s">
        <v>1646</v>
      </c>
      <c r="V35" s="81">
        <v>4</v>
      </c>
      <c r="W35" s="81">
        <v>20</v>
      </c>
      <c r="X35" s="81">
        <v>275</v>
      </c>
      <c r="Y35" s="81"/>
      <c r="Z35" s="91"/>
      <c r="AA35" s="105">
        <v>100</v>
      </c>
      <c r="AB35" s="81">
        <v>3</v>
      </c>
      <c r="AC35" s="124" t="s">
        <v>1650</v>
      </c>
      <c r="AD35" s="105" t="s">
        <v>1657</v>
      </c>
      <c r="AE35" s="81"/>
    </row>
    <row r="36" spans="1:31" ht="150" x14ac:dyDescent="0.25">
      <c r="A36" s="103" t="s">
        <v>1615</v>
      </c>
      <c r="B36" s="78">
        <v>35</v>
      </c>
      <c r="C36" s="359">
        <v>46161</v>
      </c>
      <c r="D36" s="95" t="s">
        <v>1651</v>
      </c>
      <c r="E36" s="92"/>
      <c r="F36" s="94" t="s">
        <v>1658</v>
      </c>
      <c r="G36" s="94" t="s">
        <v>1529</v>
      </c>
      <c r="H36" s="95" t="s">
        <v>1609</v>
      </c>
      <c r="I36" s="404" t="s">
        <v>1283</v>
      </c>
      <c r="J36" s="92"/>
      <c r="K36" s="94"/>
      <c r="L36" s="95"/>
      <c r="M36" s="405"/>
      <c r="N36" s="402" t="s">
        <v>1654</v>
      </c>
      <c r="O36" s="83"/>
      <c r="P36" s="90" t="s">
        <v>1644</v>
      </c>
      <c r="Q36" s="81" t="s">
        <v>1652</v>
      </c>
      <c r="R36" s="81">
        <v>-25</v>
      </c>
      <c r="S36" s="81">
        <v>30</v>
      </c>
      <c r="T36" s="361">
        <v>0.2</v>
      </c>
      <c r="U36" s="81" t="s">
        <v>1653</v>
      </c>
      <c r="V36" s="81">
        <v>4</v>
      </c>
      <c r="W36" s="81">
        <v>25</v>
      </c>
      <c r="X36" s="81">
        <v>280</v>
      </c>
      <c r="Y36" s="81"/>
      <c r="Z36" s="91"/>
      <c r="AA36" s="105">
        <v>100</v>
      </c>
      <c r="AB36" s="81">
        <v>3</v>
      </c>
      <c r="AC36" s="124" t="s">
        <v>1655</v>
      </c>
      <c r="AD36" s="105" t="s">
        <v>1674</v>
      </c>
      <c r="AE36" s="81"/>
    </row>
    <row r="37" spans="1:31" ht="90" x14ac:dyDescent="0.25">
      <c r="A37" s="103" t="s">
        <v>1615</v>
      </c>
      <c r="B37" s="78" t="s">
        <v>1283</v>
      </c>
      <c r="C37" s="359">
        <v>46162</v>
      </c>
      <c r="D37" s="95" t="s">
        <v>1664</v>
      </c>
      <c r="E37" s="92"/>
      <c r="F37" s="94" t="s">
        <v>1659</v>
      </c>
      <c r="G37" s="94" t="s">
        <v>1529</v>
      </c>
      <c r="H37" s="95" t="s">
        <v>1609</v>
      </c>
      <c r="I37" s="404" t="s">
        <v>1283</v>
      </c>
      <c r="J37" s="92"/>
      <c r="K37" s="94"/>
      <c r="L37" s="95"/>
      <c r="M37" s="405"/>
      <c r="N37" s="402" t="s">
        <v>1660</v>
      </c>
      <c r="O37" s="83"/>
      <c r="P37" s="90" t="s">
        <v>1661</v>
      </c>
      <c r="Q37" s="81" t="s">
        <v>1652</v>
      </c>
      <c r="R37" s="81">
        <v>-28</v>
      </c>
      <c r="S37" s="81">
        <v>30</v>
      </c>
      <c r="T37" s="361">
        <v>0.2</v>
      </c>
      <c r="U37" s="81" t="s">
        <v>1662</v>
      </c>
      <c r="V37" s="81">
        <v>5</v>
      </c>
      <c r="W37" s="81">
        <v>60</v>
      </c>
      <c r="X37" s="81">
        <v>280</v>
      </c>
      <c r="Y37" s="81"/>
      <c r="Z37" s="91"/>
      <c r="AA37" s="105">
        <v>100</v>
      </c>
      <c r="AB37" s="81">
        <v>2</v>
      </c>
      <c r="AC37" s="124" t="s">
        <v>1665</v>
      </c>
      <c r="AD37" s="105"/>
      <c r="AE37" s="81"/>
    </row>
    <row r="38" spans="1:31" ht="75" x14ac:dyDescent="0.25">
      <c r="A38" s="103" t="s">
        <v>1615</v>
      </c>
      <c r="B38" s="78" t="s">
        <v>1283</v>
      </c>
      <c r="C38" s="359">
        <v>46163</v>
      </c>
      <c r="D38" s="95" t="s">
        <v>1669</v>
      </c>
      <c r="E38" s="92"/>
      <c r="F38" s="94" t="s">
        <v>1666</v>
      </c>
      <c r="G38" s="94" t="s">
        <v>1529</v>
      </c>
      <c r="H38" s="95" t="s">
        <v>1609</v>
      </c>
      <c r="I38" s="404" t="s">
        <v>1283</v>
      </c>
      <c r="J38" s="92"/>
      <c r="K38" s="94"/>
      <c r="L38" s="95"/>
      <c r="M38" s="87"/>
      <c r="N38" s="402" t="s">
        <v>1667</v>
      </c>
      <c r="O38" s="83"/>
      <c r="P38" s="90" t="s">
        <v>1661</v>
      </c>
      <c r="Q38" s="81" t="s">
        <v>1668</v>
      </c>
      <c r="R38" s="81">
        <v>-25</v>
      </c>
      <c r="S38" s="81">
        <v>30</v>
      </c>
      <c r="T38" s="361">
        <v>0.2</v>
      </c>
      <c r="U38" s="81" t="s">
        <v>1662</v>
      </c>
      <c r="V38" s="81">
        <v>5</v>
      </c>
      <c r="W38" s="81">
        <v>60</v>
      </c>
      <c r="X38" s="81">
        <v>280</v>
      </c>
      <c r="Y38" s="81"/>
      <c r="Z38" s="91"/>
      <c r="AA38" s="105">
        <v>100</v>
      </c>
      <c r="AB38" s="81">
        <v>2</v>
      </c>
      <c r="AC38" s="124" t="s">
        <v>1670</v>
      </c>
      <c r="AD38" s="105"/>
      <c r="AE38" s="81"/>
    </row>
    <row r="39" spans="1:31" ht="180" x14ac:dyDescent="0.25">
      <c r="A39" s="103" t="s">
        <v>1615</v>
      </c>
      <c r="B39" s="78">
        <v>36</v>
      </c>
      <c r="C39" s="359">
        <v>46163</v>
      </c>
      <c r="D39" s="95" t="s">
        <v>1672</v>
      </c>
      <c r="E39" s="92"/>
      <c r="F39" s="94" t="s">
        <v>1663</v>
      </c>
      <c r="G39" s="94" t="s">
        <v>1529</v>
      </c>
      <c r="H39" s="95" t="s">
        <v>1609</v>
      </c>
      <c r="I39" s="404" t="s">
        <v>1283</v>
      </c>
      <c r="J39" s="92"/>
      <c r="K39" s="94"/>
      <c r="L39" s="95"/>
      <c r="M39" s="87"/>
      <c r="N39" s="402" t="s">
        <v>1667</v>
      </c>
      <c r="O39" s="83"/>
      <c r="P39" s="90" t="s">
        <v>1661</v>
      </c>
      <c r="Q39" s="81" t="s">
        <v>1668</v>
      </c>
      <c r="R39" s="81">
        <v>-25</v>
      </c>
      <c r="S39" s="81">
        <v>30</v>
      </c>
      <c r="T39" s="361">
        <v>0.2</v>
      </c>
      <c r="U39" s="81" t="s">
        <v>1671</v>
      </c>
      <c r="V39" s="81">
        <v>5</v>
      </c>
      <c r="W39" s="81">
        <v>60</v>
      </c>
      <c r="X39" s="81">
        <v>280</v>
      </c>
      <c r="Y39" s="81"/>
      <c r="Z39" s="91"/>
      <c r="AA39" s="105">
        <v>100</v>
      </c>
      <c r="AB39" s="81">
        <v>3</v>
      </c>
      <c r="AC39" s="124" t="s">
        <v>1673</v>
      </c>
      <c r="AD39" s="105" t="s">
        <v>1675</v>
      </c>
      <c r="AE39" s="81"/>
    </row>
    <row r="40" spans="1:31" ht="255" x14ac:dyDescent="0.25">
      <c r="A40" s="103" t="s">
        <v>1615</v>
      </c>
      <c r="B40" s="78">
        <v>37</v>
      </c>
      <c r="C40" s="359">
        <v>46168</v>
      </c>
      <c r="D40" s="95" t="s">
        <v>1676</v>
      </c>
      <c r="E40" s="92"/>
      <c r="F40" s="94" t="s">
        <v>1663</v>
      </c>
      <c r="G40" s="94" t="s">
        <v>1529</v>
      </c>
      <c r="H40" s="95" t="s">
        <v>1609</v>
      </c>
      <c r="I40" s="85" t="s">
        <v>1283</v>
      </c>
      <c r="J40" s="92"/>
      <c r="K40" s="94"/>
      <c r="L40" s="95"/>
      <c r="M40" s="87"/>
      <c r="N40" s="402" t="s">
        <v>1677</v>
      </c>
      <c r="O40" s="83"/>
      <c r="P40" s="90" t="s">
        <v>1661</v>
      </c>
      <c r="Q40" s="81" t="s">
        <v>1668</v>
      </c>
      <c r="R40" s="81">
        <v>-25</v>
      </c>
      <c r="S40" s="81">
        <v>30</v>
      </c>
      <c r="T40" s="361">
        <v>0.2</v>
      </c>
      <c r="U40" s="81" t="s">
        <v>1678</v>
      </c>
      <c r="V40" s="81">
        <v>5</v>
      </c>
      <c r="W40" s="81" t="s">
        <v>1679</v>
      </c>
      <c r="X40" s="81">
        <v>280</v>
      </c>
      <c r="Y40" s="81"/>
      <c r="Z40" s="91"/>
      <c r="AA40" s="105">
        <v>100</v>
      </c>
      <c r="AB40" s="81">
        <v>3</v>
      </c>
      <c r="AC40" s="124" t="s">
        <v>1681</v>
      </c>
      <c r="AD40" s="105" t="s">
        <v>1680</v>
      </c>
      <c r="AE40" s="81"/>
    </row>
    <row r="41" spans="1:31" x14ac:dyDescent="0.25">
      <c r="A41" s="93"/>
      <c r="B41" s="78"/>
      <c r="C41" s="94"/>
      <c r="D41" s="95"/>
      <c r="E41" s="92"/>
      <c r="F41" s="94"/>
      <c r="G41" s="94"/>
      <c r="H41" s="95"/>
      <c r="I41" s="85"/>
      <c r="J41" s="92"/>
      <c r="K41" s="94"/>
      <c r="L41" s="95"/>
      <c r="M41" s="87"/>
      <c r="N41" s="78"/>
      <c r="O41" s="83"/>
      <c r="P41" s="90"/>
      <c r="Q41" s="81"/>
      <c r="R41" s="81"/>
      <c r="S41" s="81"/>
      <c r="T41" s="81"/>
      <c r="U41" s="81"/>
      <c r="V41" s="81"/>
      <c r="W41" s="81"/>
      <c r="X41" s="81"/>
      <c r="Y41" s="81"/>
      <c r="Z41" s="91"/>
      <c r="AA41" s="105"/>
      <c r="AB41" s="81"/>
      <c r="AC41" s="124"/>
      <c r="AD41" s="105"/>
      <c r="AE41" s="81"/>
    </row>
    <row r="42" spans="1:31" x14ac:dyDescent="0.25">
      <c r="A42" s="112"/>
      <c r="B42" s="113"/>
      <c r="C42" s="114"/>
      <c r="D42" s="115"/>
      <c r="E42" s="116"/>
      <c r="F42" s="114"/>
      <c r="G42" s="114"/>
      <c r="H42" s="115"/>
      <c r="I42" s="117"/>
      <c r="J42" s="116"/>
      <c r="K42" s="114"/>
      <c r="L42" s="115"/>
      <c r="M42" s="118"/>
      <c r="N42" s="113"/>
      <c r="O42" s="119"/>
      <c r="P42" s="120"/>
      <c r="Q42" s="121"/>
      <c r="R42" s="121"/>
      <c r="S42" s="121"/>
      <c r="T42" s="121"/>
      <c r="U42" s="121"/>
      <c r="V42" s="121"/>
      <c r="W42" s="121"/>
      <c r="X42" s="121"/>
      <c r="Y42" s="121"/>
      <c r="Z42" s="122"/>
      <c r="AA42" s="123"/>
      <c r="AB42" s="121"/>
      <c r="AC42" s="125"/>
      <c r="AD42" s="123"/>
      <c r="AE42" s="81"/>
    </row>
  </sheetData>
  <mergeCells count="5">
    <mergeCell ref="E1:H1"/>
    <mergeCell ref="P1:Z1"/>
    <mergeCell ref="J1:L1"/>
    <mergeCell ref="M1:O1"/>
    <mergeCell ref="AB1:AE1"/>
  </mergeCells>
  <phoneticPr fontId="3" type="noConversion"/>
  <conditionalFormatting sqref="AB1:AB1048576">
    <cfRule type="cellIs" dxfId="121" priority="1" operator="equal">
      <formula>3</formula>
    </cfRule>
    <cfRule type="cellIs" dxfId="120" priority="2" operator="equal">
      <formula>2</formula>
    </cfRule>
    <cfRule type="cellIs" dxfId="119" priority="3" operator="equal">
      <formula>4</formula>
    </cfRule>
    <cfRule type="cellIs" dxfId="118" priority="4" operator="equal">
      <formula>1</formula>
    </cfRule>
  </conditionalFormatting>
  <pageMargins left="0.7" right="0.7" top="0.75" bottom="0.75" header="0.3" footer="0.3"/>
  <pageSetup paperSize="9" orientation="portrait" horizontalDpi="4294967295" verticalDpi="4294967295"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82E80F-2886-4E8D-B684-9CCD6BE81397}">
          <x14:formula1>
            <xm:f>'PROCESS GRADE SCALE'!$G$2:$G$5</xm:f>
          </x14:formula1>
          <xm:sqref>AB3:AB42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94DB-372E-44AF-A077-1AAC02AB59F7}">
  <sheetPr codeName="Sheet7">
    <tabColor rgb="FFCC99FF"/>
  </sheetPr>
  <dimension ref="A1:AT27"/>
  <sheetViews>
    <sheetView showGridLines="0" zoomScaleNormal="100" workbookViewId="0">
      <selection sqref="A1:B1"/>
    </sheetView>
  </sheetViews>
  <sheetFormatPr defaultColWidth="11.42578125" defaultRowHeight="15" x14ac:dyDescent="0.25"/>
  <cols>
    <col min="1" max="1" width="31.28515625" style="13" customWidth="1"/>
    <col min="2" max="2" width="21" style="13" customWidth="1"/>
    <col min="3" max="3" width="17.28515625" style="13" customWidth="1"/>
    <col min="4" max="4" width="11.5703125" style="27"/>
    <col min="5" max="5" width="44.85546875" style="13" customWidth="1"/>
    <col min="6" max="6" width="35.85546875" style="13" customWidth="1"/>
    <col min="7" max="7" width="45.28515625" style="13" customWidth="1"/>
    <col min="8" max="8" width="32.28515625" style="13" customWidth="1"/>
    <col min="9" max="9" width="28.42578125" style="13" customWidth="1"/>
    <col min="10" max="10" width="18.85546875" style="13" customWidth="1"/>
    <col min="11" max="11" width="11.42578125" style="13"/>
    <col min="12" max="12" width="29.7109375" style="13" customWidth="1"/>
    <col min="13" max="46" width="11.5703125" style="27"/>
    <col min="47" max="16384" width="11.42578125" style="13"/>
  </cols>
  <sheetData>
    <row r="1" spans="1:8" ht="19.5" thickBot="1" x14ac:dyDescent="0.35">
      <c r="A1" s="512" t="s">
        <v>3</v>
      </c>
      <c r="B1" s="513"/>
      <c r="C1" s="27"/>
      <c r="F1" s="27"/>
      <c r="G1"/>
      <c r="H1" s="185" t="s">
        <v>1429</v>
      </c>
    </row>
    <row r="2" spans="1:8" ht="19.5" thickBot="1" x14ac:dyDescent="0.3">
      <c r="A2" s="514" t="s">
        <v>1430</v>
      </c>
      <c r="B2" s="515"/>
      <c r="C2" s="27"/>
      <c r="F2" s="27"/>
      <c r="G2" s="186" t="s">
        <v>1431</v>
      </c>
      <c r="H2" s="187">
        <v>3.1739929999999998</v>
      </c>
    </row>
    <row r="3" spans="1:8" ht="21" customHeight="1" thickBot="1" x14ac:dyDescent="0.3">
      <c r="A3" s="516" t="s">
        <v>1432</v>
      </c>
      <c r="B3" s="517"/>
      <c r="C3" s="27"/>
      <c r="F3" s="27"/>
      <c r="G3" s="188" t="s">
        <v>1433</v>
      </c>
      <c r="H3" s="189">
        <v>7.1349600000000004</v>
      </c>
    </row>
    <row r="4" spans="1:8" x14ac:dyDescent="0.25">
      <c r="A4"/>
      <c r="B4"/>
      <c r="C4" s="27"/>
      <c r="E4" s="27"/>
      <c r="F4" s="27"/>
      <c r="G4" s="27"/>
      <c r="H4" s="27"/>
    </row>
    <row r="5" spans="1:8" x14ac:dyDescent="0.25">
      <c r="A5"/>
      <c r="B5"/>
      <c r="C5" s="27"/>
      <c r="E5" s="27"/>
      <c r="F5" s="27"/>
      <c r="G5" s="27"/>
      <c r="H5" s="27"/>
    </row>
    <row r="6" spans="1:8" s="27" customFormat="1" x14ac:dyDescent="0.25"/>
    <row r="7" spans="1:8" s="27" customFormat="1" ht="15.75" thickBot="1" x14ac:dyDescent="0.3">
      <c r="A7" s="139"/>
    </row>
    <row r="8" spans="1:8" s="27" customFormat="1" ht="15.75" thickBot="1" x14ac:dyDescent="0.3">
      <c r="A8" s="152" t="s">
        <v>1434</v>
      </c>
      <c r="B8" s="53"/>
      <c r="C8" s="13"/>
    </row>
    <row r="9" spans="1:8" ht="15.75" thickBot="1" x14ac:dyDescent="0.3">
      <c r="A9" s="153" t="s">
        <v>1435</v>
      </c>
      <c r="B9" s="45"/>
      <c r="C9" s="158" t="s">
        <v>1436</v>
      </c>
      <c r="E9" s="518" t="s">
        <v>1437</v>
      </c>
      <c r="F9" s="519"/>
      <c r="G9" s="519"/>
      <c r="H9" s="520"/>
    </row>
    <row r="10" spans="1:8" ht="15.75" thickBot="1" x14ac:dyDescent="0.3">
      <c r="A10" s="154" t="s">
        <v>1438</v>
      </c>
      <c r="B10" s="157" t="e">
        <f>B9/B12</f>
        <v>#DIV/0!</v>
      </c>
      <c r="C10" s="159" t="s">
        <v>1439</v>
      </c>
      <c r="E10" s="190" t="s">
        <v>1440</v>
      </c>
      <c r="F10" s="191" t="s">
        <v>1441</v>
      </c>
      <c r="G10" s="192" t="s">
        <v>1442</v>
      </c>
      <c r="H10" s="193" t="s">
        <v>1443</v>
      </c>
    </row>
    <row r="11" spans="1:8" ht="15.75" thickBot="1" x14ac:dyDescent="0.3">
      <c r="A11" s="527"/>
      <c r="B11" s="528"/>
      <c r="C11" s="529"/>
      <c r="E11" s="140">
        <f>30*60</f>
        <v>1800</v>
      </c>
      <c r="F11" s="141" t="e">
        <f>E11/$B$12</f>
        <v>#DIV/0!</v>
      </c>
      <c r="G11" s="142">
        <f>22*50</f>
        <v>1100</v>
      </c>
      <c r="H11" s="143" t="e">
        <f>G11/$B$12*0.9</f>
        <v>#DIV/0!</v>
      </c>
    </row>
    <row r="12" spans="1:8" x14ac:dyDescent="0.25">
      <c r="A12" s="530" t="s">
        <v>1444</v>
      </c>
      <c r="B12" s="46"/>
      <c r="C12" s="163" t="s">
        <v>1445</v>
      </c>
      <c r="E12" s="190" t="s">
        <v>1446</v>
      </c>
      <c r="F12" s="191" t="s">
        <v>1441</v>
      </c>
      <c r="G12" s="192" t="s">
        <v>1447</v>
      </c>
      <c r="H12" s="193" t="s">
        <v>1443</v>
      </c>
    </row>
    <row r="13" spans="1:8" ht="15.75" thickBot="1" x14ac:dyDescent="0.3">
      <c r="A13" s="531"/>
      <c r="B13" s="160">
        <f>B12/10000</f>
        <v>0</v>
      </c>
      <c r="C13" s="164" t="s">
        <v>1448</v>
      </c>
      <c r="E13" s="140">
        <f>30*34.5</f>
        <v>1035</v>
      </c>
      <c r="F13" s="141" t="e">
        <f>E13/$B$12</f>
        <v>#DIV/0!</v>
      </c>
      <c r="G13" s="142">
        <f>21*30</f>
        <v>630</v>
      </c>
      <c r="H13" s="143" t="e">
        <f>G13/$B$12*0.9</f>
        <v>#DIV/0!</v>
      </c>
    </row>
    <row r="14" spans="1:8" x14ac:dyDescent="0.25">
      <c r="A14" s="155" t="s">
        <v>1449</v>
      </c>
      <c r="B14" s="161">
        <f>SQRT(B12/(PI()))</f>
        <v>0</v>
      </c>
      <c r="C14" s="165" t="s">
        <v>1450</v>
      </c>
      <c r="E14" s="190" t="s">
        <v>1451</v>
      </c>
      <c r="F14" s="191" t="s">
        <v>1441</v>
      </c>
      <c r="G14" s="192" t="s">
        <v>1447</v>
      </c>
      <c r="H14" s="193" t="s">
        <v>1443</v>
      </c>
    </row>
    <row r="15" spans="1:8" ht="15.75" thickBot="1" x14ac:dyDescent="0.3">
      <c r="A15" s="156" t="s">
        <v>1452</v>
      </c>
      <c r="B15" s="162">
        <f>B14*2</f>
        <v>0</v>
      </c>
      <c r="C15" s="166" t="s">
        <v>1450</v>
      </c>
      <c r="E15" s="144">
        <f>2*PI()*5*20</f>
        <v>628.31853071795865</v>
      </c>
      <c r="F15" s="141" t="e">
        <f>E15/$B$12</f>
        <v>#DIV/0!</v>
      </c>
      <c r="G15" s="142">
        <f>18*28</f>
        <v>504</v>
      </c>
      <c r="H15" s="143" t="e">
        <f>G15/$B$12*0.9</f>
        <v>#DIV/0!</v>
      </c>
    </row>
    <row r="16" spans="1:8" ht="15.75" thickBot="1" x14ac:dyDescent="0.3">
      <c r="A16" s="527"/>
      <c r="B16" s="528"/>
      <c r="C16" s="529"/>
      <c r="E16" s="27"/>
      <c r="F16" s="27"/>
      <c r="G16" s="27"/>
      <c r="H16" s="27"/>
    </row>
    <row r="17" spans="1:12" ht="15.75" thickBot="1" x14ac:dyDescent="0.3">
      <c r="A17" s="167" t="s">
        <v>1453</v>
      </c>
      <c r="B17" s="47"/>
      <c r="C17" s="173" t="s">
        <v>1454</v>
      </c>
      <c r="E17" s="518" t="s">
        <v>1455</v>
      </c>
      <c r="F17" s="519"/>
      <c r="G17" s="519"/>
      <c r="H17" s="519"/>
      <c r="I17" s="519"/>
      <c r="J17" s="519"/>
      <c r="K17" s="519"/>
      <c r="L17" s="520"/>
    </row>
    <row r="18" spans="1:12" ht="15.75" thickBot="1" x14ac:dyDescent="0.3">
      <c r="A18" s="168" t="s">
        <v>1456</v>
      </c>
      <c r="B18" s="172">
        <f>B17*B13</f>
        <v>0</v>
      </c>
      <c r="C18" s="172" t="s">
        <v>1457</v>
      </c>
      <c r="E18" s="521" t="s">
        <v>1458</v>
      </c>
      <c r="F18" s="522"/>
      <c r="G18" s="523"/>
      <c r="H18" s="194"/>
      <c r="I18" s="524" t="s">
        <v>1459</v>
      </c>
      <c r="J18" s="525"/>
      <c r="K18" s="526"/>
      <c r="L18" s="195"/>
    </row>
    <row r="19" spans="1:12" ht="15.75" thickBot="1" x14ac:dyDescent="0.3">
      <c r="A19" s="169" t="s">
        <v>1460</v>
      </c>
      <c r="B19" s="48"/>
      <c r="C19" s="174" t="s">
        <v>1378</v>
      </c>
      <c r="E19" s="196" t="s">
        <v>1461</v>
      </c>
      <c r="F19" s="197" t="s">
        <v>1462</v>
      </c>
      <c r="G19" s="198" t="s">
        <v>1463</v>
      </c>
      <c r="H19" s="199" t="s">
        <v>1464</v>
      </c>
      <c r="I19" s="200" t="s">
        <v>1461</v>
      </c>
      <c r="J19" s="201" t="s">
        <v>1462</v>
      </c>
      <c r="K19" s="202" t="s">
        <v>1463</v>
      </c>
      <c r="L19" s="203" t="s">
        <v>1465</v>
      </c>
    </row>
    <row r="20" spans="1:12" ht="15.75" thickBot="1" x14ac:dyDescent="0.3">
      <c r="A20" s="170" t="s">
        <v>1466</v>
      </c>
      <c r="B20" s="177">
        <f>(B18*1000)*B19</f>
        <v>0</v>
      </c>
      <c r="C20" s="175" t="s">
        <v>1436</v>
      </c>
      <c r="E20" s="145">
        <v>50</v>
      </c>
      <c r="F20" s="50"/>
      <c r="G20" s="146">
        <f>E20*F20</f>
        <v>0</v>
      </c>
      <c r="H20" s="147" t="e">
        <f>G20/$B$12</f>
        <v>#DIV/0!</v>
      </c>
      <c r="I20" s="148">
        <v>42</v>
      </c>
      <c r="J20" s="51"/>
      <c r="K20" s="149">
        <f>I20*J20</f>
        <v>0</v>
      </c>
      <c r="L20" s="150" t="e">
        <f>K20/$B$12*0.9</f>
        <v>#DIV/0!</v>
      </c>
    </row>
    <row r="21" spans="1:12" ht="15.75" thickBot="1" x14ac:dyDescent="0.3">
      <c r="A21" s="171" t="s">
        <v>1467</v>
      </c>
      <c r="B21" s="178" t="e">
        <f>(B20)/$B$12</f>
        <v>#DIV/0!</v>
      </c>
      <c r="C21" s="176" t="s">
        <v>1439</v>
      </c>
      <c r="E21" s="27"/>
      <c r="F21" s="27"/>
      <c r="G21" s="27"/>
      <c r="H21" s="27"/>
      <c r="I21" s="27"/>
      <c r="J21" s="27"/>
      <c r="K21" s="27"/>
      <c r="L21" s="27"/>
    </row>
    <row r="22" spans="1:12" ht="15.75" thickBot="1" x14ac:dyDescent="0.3">
      <c r="A22" s="527"/>
      <c r="B22" s="528"/>
      <c r="C22" s="529"/>
      <c r="E22" s="215" t="s">
        <v>1468</v>
      </c>
      <c r="F22" s="216" t="s">
        <v>1469</v>
      </c>
      <c r="G22" s="217" t="s">
        <v>1470</v>
      </c>
      <c r="H22" s="27"/>
      <c r="I22" s="27"/>
      <c r="J22" s="27"/>
      <c r="K22" s="27"/>
      <c r="L22" s="27"/>
    </row>
    <row r="23" spans="1:12" ht="45.75" thickBot="1" x14ac:dyDescent="0.3">
      <c r="A23" s="179" t="s">
        <v>1471</v>
      </c>
      <c r="B23" s="49"/>
      <c r="C23" s="184" t="s">
        <v>1378</v>
      </c>
      <c r="E23" s="212"/>
      <c r="F23" s="213" t="e">
        <f>(B20*1000)/$E$23</f>
        <v>#DIV/0!</v>
      </c>
      <c r="G23" s="214" t="e">
        <f>(B20*1000000)/$E$23</f>
        <v>#DIV/0!</v>
      </c>
      <c r="H23" s="27"/>
      <c r="I23" s="27"/>
      <c r="J23" s="27"/>
      <c r="K23" s="27"/>
      <c r="L23" s="27"/>
    </row>
    <row r="24" spans="1:12" ht="15.75" thickBot="1" x14ac:dyDescent="0.3">
      <c r="A24" s="180" t="s">
        <v>1472</v>
      </c>
      <c r="B24" s="181">
        <f>B23*B20</f>
        <v>0</v>
      </c>
      <c r="C24" s="184" t="s">
        <v>1436</v>
      </c>
      <c r="E24" s="151"/>
      <c r="F24" s="27"/>
      <c r="G24" s="27"/>
      <c r="H24" s="27"/>
      <c r="I24" s="27"/>
      <c r="J24" s="27"/>
      <c r="K24" s="27"/>
      <c r="L24" s="27"/>
    </row>
    <row r="25" spans="1:12" ht="15.75" thickBot="1" x14ac:dyDescent="0.3">
      <c r="A25" s="180" t="s">
        <v>1473</v>
      </c>
      <c r="B25" s="181" t="e">
        <f>B24/B12</f>
        <v>#DIV/0!</v>
      </c>
      <c r="C25" s="184" t="s">
        <v>1439</v>
      </c>
      <c r="E25" s="151"/>
      <c r="F25" s="27"/>
      <c r="G25" s="27"/>
      <c r="H25" s="27"/>
      <c r="I25" s="27"/>
      <c r="J25" s="27"/>
      <c r="K25" s="27"/>
      <c r="L25" s="27"/>
    </row>
    <row r="26" spans="1:12" ht="15.75" thickBot="1" x14ac:dyDescent="0.3">
      <c r="A26" s="180" t="s">
        <v>1474</v>
      </c>
      <c r="B26" s="182">
        <f>B24-B9</f>
        <v>0</v>
      </c>
      <c r="C26" s="184" t="s">
        <v>1436</v>
      </c>
      <c r="F26" s="27"/>
      <c r="G26" s="27"/>
      <c r="H26" s="27"/>
      <c r="I26" s="27"/>
      <c r="J26" s="27"/>
      <c r="K26" s="27"/>
      <c r="L26" s="27"/>
    </row>
    <row r="27" spans="1:12" ht="15.75" thickBot="1" x14ac:dyDescent="0.3">
      <c r="A27" s="180" t="s">
        <v>1475</v>
      </c>
      <c r="B27" s="183" t="e">
        <f>B26/B9</f>
        <v>#DIV/0!</v>
      </c>
      <c r="C27" s="184" t="s">
        <v>1378</v>
      </c>
      <c r="E27" s="27"/>
      <c r="F27" s="27"/>
      <c r="G27" s="27"/>
      <c r="H27" s="27"/>
      <c r="I27" s="27"/>
      <c r="J27" s="27"/>
      <c r="K27" s="27"/>
      <c r="L27" s="27"/>
    </row>
  </sheetData>
  <mergeCells count="11">
    <mergeCell ref="I18:K18"/>
    <mergeCell ref="E17:L17"/>
    <mergeCell ref="A22:C22"/>
    <mergeCell ref="A11:C11"/>
    <mergeCell ref="A12:A13"/>
    <mergeCell ref="A16:C16"/>
    <mergeCell ref="A1:B1"/>
    <mergeCell ref="A2:B2"/>
    <mergeCell ref="A3:B3"/>
    <mergeCell ref="E9:H9"/>
    <mergeCell ref="E18:G18"/>
  </mergeCells>
  <phoneticPr fontId="3" type="noConversion"/>
  <conditionalFormatting sqref="B20">
    <cfRule type="cellIs" dxfId="3" priority="4" operator="greaterThanOrEqual">
      <formula>$B$9</formula>
    </cfRule>
  </conditionalFormatting>
  <conditionalFormatting sqref="B21">
    <cfRule type="cellIs" dxfId="2" priority="3" operator="greaterThanOrEqual">
      <formula>$B$10</formula>
    </cfRule>
  </conditionalFormatting>
  <conditionalFormatting sqref="B24">
    <cfRule type="cellIs" dxfId="1" priority="1" operator="greaterThanOrEqual">
      <formula>$B$9</formula>
    </cfRule>
  </conditionalFormatting>
  <conditionalFormatting sqref="B25">
    <cfRule type="cellIs" dxfId="0" priority="2" operator="greaterThanOrEqual">
      <formula>$B$10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9C979-CEB2-4612-B607-8C4CA27873FA}">
  <sheetPr codeName="Sheet8"/>
  <dimension ref="A1"/>
  <sheetViews>
    <sheetView zoomScale="70" zoomScaleNormal="70" workbookViewId="0"/>
  </sheetViews>
  <sheetFormatPr defaultColWidth="11.42578125" defaultRowHeight="15" x14ac:dyDescent="0.25"/>
  <cols>
    <col min="1" max="1" width="24" customWidth="1"/>
    <col min="2" max="2" width="28.5703125" customWidth="1"/>
    <col min="5" max="5" width="18.5703125" customWidth="1"/>
    <col min="6" max="6" width="18.42578125" customWidth="1"/>
    <col min="7" max="7" width="17.7109375" customWidth="1"/>
    <col min="8" max="8" width="16.85546875" customWidth="1"/>
    <col min="9" max="11" width="29.5703125" customWidth="1"/>
    <col min="12" max="12" width="23.28515625" bestFit="1" customWidth="1"/>
    <col min="13" max="13" width="16.5703125" customWidth="1"/>
    <col min="14" max="14" width="18.28515625" bestFit="1" customWidth="1"/>
    <col min="15" max="15" width="17.5703125" customWidth="1"/>
    <col min="16" max="16" width="14.85546875" customWidth="1"/>
    <col min="17" max="17" width="24.5703125" customWidth="1"/>
    <col min="18" max="18" width="18.28515625" bestFit="1" customWidth="1"/>
    <col min="19" max="19" width="18.140625"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AEB0D-7370-4894-8699-53296B28A880}">
  <sheetPr codeName="Sheet5"/>
  <dimension ref="A1:K5"/>
  <sheetViews>
    <sheetView showGridLines="0" zoomScale="115" zoomScaleNormal="115" workbookViewId="0">
      <selection sqref="A1:E1"/>
    </sheetView>
  </sheetViews>
  <sheetFormatPr defaultColWidth="11.42578125" defaultRowHeight="15" x14ac:dyDescent="0.25"/>
  <cols>
    <col min="1" max="1" width="8.7109375" customWidth="1"/>
    <col min="2" max="2" width="16.7109375" customWidth="1"/>
    <col min="3" max="3" width="23.7109375" customWidth="1"/>
    <col min="4" max="4" width="21.28515625" customWidth="1"/>
    <col min="5" max="5" width="27.42578125" customWidth="1"/>
    <col min="8" max="8" width="19.85546875" customWidth="1"/>
    <col min="9" max="9" width="18.28515625" customWidth="1"/>
    <col min="10" max="10" width="29.140625" customWidth="1"/>
    <col min="11" max="11" width="32" customWidth="1"/>
  </cols>
  <sheetData>
    <row r="1" spans="1:11" ht="19.5" thickBot="1" x14ac:dyDescent="0.3">
      <c r="A1" s="532" t="s">
        <v>1476</v>
      </c>
      <c r="B1" s="533"/>
      <c r="C1" s="533"/>
      <c r="D1" s="533"/>
      <c r="E1" s="534"/>
      <c r="G1" s="532" t="s">
        <v>1477</v>
      </c>
      <c r="H1" s="533"/>
      <c r="I1" s="533"/>
      <c r="J1" s="533"/>
      <c r="K1" s="534"/>
    </row>
    <row r="2" spans="1:11" ht="64.150000000000006" customHeight="1" thickBot="1" x14ac:dyDescent="0.3">
      <c r="A2" s="67">
        <v>1</v>
      </c>
      <c r="B2" s="68" t="s">
        <v>1478</v>
      </c>
      <c r="C2" s="537" t="s">
        <v>1479</v>
      </c>
      <c r="D2" s="538"/>
      <c r="E2" s="543" t="s">
        <v>1480</v>
      </c>
      <c r="G2" s="67">
        <v>1</v>
      </c>
      <c r="H2" s="68" t="s">
        <v>1481</v>
      </c>
      <c r="I2" s="537" t="s">
        <v>1482</v>
      </c>
      <c r="J2" s="538"/>
      <c r="K2" s="543" t="s">
        <v>1483</v>
      </c>
    </row>
    <row r="3" spans="1:11" ht="62.45" customHeight="1" thickBot="1" x14ac:dyDescent="0.3">
      <c r="A3" s="69">
        <v>2</v>
      </c>
      <c r="B3" s="70" t="s">
        <v>1484</v>
      </c>
      <c r="C3" s="541" t="s">
        <v>1485</v>
      </c>
      <c r="D3" s="542"/>
      <c r="E3" s="544"/>
      <c r="G3" s="69">
        <v>2</v>
      </c>
      <c r="H3" s="70" t="s">
        <v>1486</v>
      </c>
      <c r="I3" s="541" t="s">
        <v>1487</v>
      </c>
      <c r="J3" s="542"/>
      <c r="K3" s="544"/>
    </row>
    <row r="4" spans="1:11" ht="69" customHeight="1" thickBot="1" x14ac:dyDescent="0.3">
      <c r="A4" s="73">
        <v>3</v>
      </c>
      <c r="B4" s="74" t="s">
        <v>1488</v>
      </c>
      <c r="C4" s="539" t="s">
        <v>1489</v>
      </c>
      <c r="D4" s="540"/>
      <c r="E4" s="76" t="s">
        <v>1490</v>
      </c>
      <c r="G4" s="73">
        <v>3</v>
      </c>
      <c r="H4" s="74" t="s">
        <v>1491</v>
      </c>
      <c r="I4" s="539" t="s">
        <v>1492</v>
      </c>
      <c r="J4" s="540"/>
      <c r="K4" s="76" t="s">
        <v>1493</v>
      </c>
    </row>
    <row r="5" spans="1:11" ht="57.6" customHeight="1" thickBot="1" x14ac:dyDescent="0.3">
      <c r="A5" s="71">
        <v>4</v>
      </c>
      <c r="B5" s="72" t="s">
        <v>1494</v>
      </c>
      <c r="C5" s="535" t="s">
        <v>1495</v>
      </c>
      <c r="D5" s="536"/>
      <c r="E5" s="75" t="s">
        <v>1496</v>
      </c>
      <c r="G5" s="71">
        <v>4</v>
      </c>
      <c r="H5" s="72" t="s">
        <v>1497</v>
      </c>
      <c r="I5" s="535" t="s">
        <v>1498</v>
      </c>
      <c r="J5" s="536"/>
      <c r="K5" s="75" t="s">
        <v>1499</v>
      </c>
    </row>
  </sheetData>
  <mergeCells count="12">
    <mergeCell ref="A1:E1"/>
    <mergeCell ref="I5:J5"/>
    <mergeCell ref="C2:D2"/>
    <mergeCell ref="C4:D4"/>
    <mergeCell ref="C5:D5"/>
    <mergeCell ref="C3:D3"/>
    <mergeCell ref="E2:E3"/>
    <mergeCell ref="G1:K1"/>
    <mergeCell ref="I2:J2"/>
    <mergeCell ref="K2:K3"/>
    <mergeCell ref="I3:J3"/>
    <mergeCell ref="I4:J4"/>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234f2fd1-cc24-4581-a534-8dbdab6aeace" xsi:nil="true"/>
    <lcf76f155ced4ddcb4097134ff3c332f xmlns="dc1477da-7d42-48a9-9520-67dbcc67deb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20FEDAF317ECE47B903242BE85E6951" ma:contentTypeVersion="13" ma:contentTypeDescription="Create a new document." ma:contentTypeScope="" ma:versionID="c5bd9cbcb961305cc16e2e568398f379">
  <xsd:schema xmlns:xsd="http://www.w3.org/2001/XMLSchema" xmlns:xs="http://www.w3.org/2001/XMLSchema" xmlns:p="http://schemas.microsoft.com/office/2006/metadata/properties" xmlns:ns2="dc1477da-7d42-48a9-9520-67dbcc67deb8" xmlns:ns3="234f2fd1-cc24-4581-a534-8dbdab6aeace" targetNamespace="http://schemas.microsoft.com/office/2006/metadata/properties" ma:root="true" ma:fieldsID="bb90baa9496f3a7ac0f718549dcd760e" ns2:_="" ns3:_="">
    <xsd:import namespace="dc1477da-7d42-48a9-9520-67dbcc67deb8"/>
    <xsd:import namespace="234f2fd1-cc24-4581-a534-8dbdab6aeace"/>
    <xsd:element name="properties">
      <xsd:complexType>
        <xsd:sequence>
          <xsd:element name="documentManagement">
            <xsd:complexType>
              <xsd:all>
                <xsd:element ref="ns2:MediaServiceBillingMetadata" minOccurs="0"/>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c1477da-7d42-48a9-9520-67dbcc67deb8" elementFormDefault="qualified">
    <xsd:import namespace="http://schemas.microsoft.com/office/2006/documentManagement/types"/>
    <xsd:import namespace="http://schemas.microsoft.com/office/infopath/2007/PartnerControls"/>
    <xsd:element name="MediaServiceBillingMetadata" ma:index="8" nillable="true" ma:displayName="MediaServiceBillingMetadata" ma:hidden="true" ma:internalName="MediaServiceBillingMetadata" ma:readOnly="true">
      <xsd:simpleType>
        <xsd:restriction base="dms:Note"/>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71e5a79f-6de9-4274-a58b-6eb954feefef"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34f2fd1-cc24-4581-a534-8dbdab6aeace"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6a9472f0-47b4-49e7-9b16-c337939ad977}" ma:internalName="TaxCatchAll" ma:showField="CatchAllData" ma:web="234f2fd1-cc24-4581-a534-8dbdab6aeac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394CD1E-09FA-4500-AE49-0B530E70D3D3}">
  <ds:schemaRefs>
    <ds:schemaRef ds:uri="http://schemas.microsoft.com/office/2006/metadata/properties"/>
    <ds:schemaRef ds:uri="234f2fd1-cc24-4581-a534-8dbdab6aeace"/>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www.w3.org/XML/1998/namespace"/>
    <ds:schemaRef ds:uri="dc1477da-7d42-48a9-9520-67dbcc67deb8"/>
    <ds:schemaRef ds:uri="http://purl.org/dc/terms/"/>
  </ds:schemaRefs>
</ds:datastoreItem>
</file>

<file path=customXml/itemProps2.xml><?xml version="1.0" encoding="utf-8"?>
<ds:datastoreItem xmlns:ds="http://schemas.openxmlformats.org/officeDocument/2006/customXml" ds:itemID="{133DAE63-C006-487B-ACD3-D74DB0EB732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c1477da-7d42-48a9-9520-67dbcc67deb8"/>
    <ds:schemaRef ds:uri="234f2fd1-cc24-4581-a534-8dbdab6aea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9F52A25-DAF1-4819-8061-9DE8DB2CDBF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LISTA DE MATERIALES</vt:lpstr>
      <vt:lpstr>HOJA DE CALCULO</vt:lpstr>
      <vt:lpstr>FORMULAS</vt:lpstr>
      <vt:lpstr>IMPRIMIR</vt:lpstr>
      <vt:lpstr>PARÁMETROS</vt:lpstr>
      <vt:lpstr>PARCHES</vt:lpstr>
      <vt:lpstr>OTROS</vt:lpstr>
      <vt:lpstr>PROCESS GRADE SCALE</vt:lpstr>
      <vt:lpstr>LMP</vt:lpstr>
      <vt:lpstr>IMPRIMIR!Print_Area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Alberto Chiva</dc:creator>
  <cp:keywords/>
  <dc:description/>
  <cp:lastModifiedBy>Matan Cohen</cp:lastModifiedBy>
  <cp:revision/>
  <dcterms:created xsi:type="dcterms:W3CDTF">2019-05-30T11:04:29Z</dcterms:created>
  <dcterms:modified xsi:type="dcterms:W3CDTF">2026-06-18T08:22:41Z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0x010100320FEDAF317ECE47B903242BE85E6951</vt:lpwstr>
  </property>
  <property fmtid="{D5CDD505-2E9C-101B-9397-08002B2CF9AE}" pid="3" name="MediaServiceImageTags">
    <vt:lpwstr/>
  </property>
  <property fmtid="{D5CDD505-2E9C-101B-9397-08002B2CF9AE}" pid="4" name="Order">
    <vt:r8>20650500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