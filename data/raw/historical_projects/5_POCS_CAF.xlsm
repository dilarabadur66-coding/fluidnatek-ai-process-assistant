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02920395-my.sharepoint.com/personal/sestevez_fluidnatek_com/Documents/2026/Internship/database/staged/"/>
    </mc:Choice>
  </mc:AlternateContent>
  <xr:revisionPtr revIDLastSave="2659" documentId="13_ncr:1_{93EBCF84-E56F-46D6-B322-5668C23BE8F0}" xr6:coauthVersionLast="47" xr6:coauthVersionMax="47" xr10:uidLastSave="{8A02F24E-8994-4244-8D8E-85A06824C56A}"/>
  <bookViews>
    <workbookView xWindow="-120" yWindow="-120" windowWidth="29040" windowHeight="15720" tabRatio="798" activeTab="8" xr2:uid="{6C17087C-07E1-4389-9F2B-30D43890D6BB}"/>
  </bookViews>
  <sheets>
    <sheet name="Lista_materiales" sheetId="22" r:id="rId1"/>
    <sheet name="Detalles_proyecto" sheetId="23" r:id="rId2"/>
    <sheet name="Materiales" sheetId="16" r:id="rId3"/>
    <sheet name="Formulacion" sheetId="15" r:id="rId4"/>
    <sheet name="Imprimir" sheetId="14" r:id="rId5"/>
    <sheet name="Soluciones_composicion" sheetId="18" r:id="rId6"/>
    <sheet name="Soluciones_propiedades" sheetId="19" r:id="rId7"/>
    <sheet name="Setup" sheetId="20" r:id="rId8"/>
    <sheet name="Parametros_proceso" sheetId="2" r:id="rId9"/>
    <sheet name="Referencias" sheetId="17" r:id="rId10"/>
  </sheets>
  <definedNames>
    <definedName name="_xlnm._FilterDatabase" localSheetId="4" hidden="1">Imprimir!$A$55:$D$62</definedName>
    <definedName name="_xlnm._FilterDatabase" localSheetId="2" hidden="1">Materiales!#REF!</definedName>
    <definedName name="_xlnm._FilterDatabase" localSheetId="8" hidden="1">Parametros_proceso!$E$2:$U$2</definedName>
    <definedName name="_xlnm._FilterDatabase" localSheetId="7" hidden="1">Setup!$D$1:$J$1</definedName>
    <definedName name="_xleta.TODAY" hidden="1" xlm="1">#NAME?</definedName>
    <definedName name="Formulas_name">Formulas[FORMULA]</definedName>
    <definedName name="Lista">OFFSET(Materiales!#REF!,1,0,COUNTIF(Materiales!XFD1048573:XFD995,"?*"))</definedName>
    <definedName name="lista_materiales_name">lista_materiales[name]</definedName>
    <definedName name="LMP" localSheetId="7">Materiales[#All]</definedName>
    <definedName name="LMP" localSheetId="6">Materiales[#All]</definedName>
    <definedName name="LMP">Materiales[#All]</definedName>
    <definedName name="_xlnm.Print_Area" localSheetId="4">Imprimir!$A$1:$F$67</definedName>
    <definedName name="Setup_n">Setup[Numero setup]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4" l="1"/>
  <c r="C9" i="14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M19" i="15"/>
  <c r="L19" i="15"/>
  <c r="K19" i="15"/>
  <c r="J19" i="15"/>
  <c r="I19" i="15"/>
  <c r="H19" i="15"/>
  <c r="A32" i="14"/>
  <c r="E24" i="14"/>
  <c r="E23" i="14"/>
  <c r="E22" i="14"/>
  <c r="E21" i="14"/>
  <c r="E20" i="14"/>
  <c r="E19" i="14"/>
  <c r="E18" i="14"/>
  <c r="E17" i="14"/>
  <c r="B24" i="14"/>
  <c r="B23" i="14"/>
  <c r="B22" i="14"/>
  <c r="B21" i="14"/>
  <c r="B20" i="14"/>
  <c r="B19" i="14"/>
  <c r="B18" i="14"/>
  <c r="B17" i="14"/>
  <c r="E16" i="14"/>
  <c r="B16" i="14"/>
  <c r="I12" i="15"/>
  <c r="H12" i="15"/>
  <c r="I11" i="15"/>
  <c r="H11" i="15"/>
  <c r="I10" i="15"/>
  <c r="H10" i="15"/>
  <c r="I9" i="15"/>
  <c r="H9" i="15"/>
  <c r="I8" i="15"/>
  <c r="H8" i="15"/>
  <c r="I7" i="15"/>
  <c r="H7" i="15"/>
  <c r="I14" i="15"/>
  <c r="I2" i="15"/>
  <c r="J6" i="15"/>
  <c r="I6" i="15"/>
  <c r="H6" i="15"/>
  <c r="J5" i="15"/>
  <c r="I5" i="15"/>
  <c r="H5" i="15"/>
  <c r="J4" i="15"/>
  <c r="H4" i="15"/>
  <c r="I4" i="15"/>
  <c r="D22" i="14" l="1"/>
  <c r="B5" i="15"/>
  <c r="C7" i="15" l="1"/>
  <c r="C8" i="15"/>
  <c r="C9" i="15"/>
  <c r="C10" i="15"/>
  <c r="C11" i="15"/>
  <c r="C12" i="15"/>
  <c r="B6" i="15"/>
  <c r="C6" i="15" s="1"/>
  <c r="C5" i="15"/>
  <c r="B4" i="15"/>
  <c r="C4" i="15" s="1"/>
  <c r="L10" i="15" l="1"/>
  <c r="L8" i="15"/>
  <c r="L11" i="15"/>
  <c r="L7" i="15"/>
  <c r="K7" i="15"/>
  <c r="L12" i="15"/>
  <c r="L9" i="15"/>
  <c r="K9" i="15"/>
  <c r="K8" i="15"/>
  <c r="I13" i="15"/>
  <c r="J13" i="15" s="1"/>
  <c r="L13" i="15" l="1"/>
  <c r="K13" i="15"/>
  <c r="F7" i="14" l="1"/>
  <c r="D17" i="14" l="1"/>
  <c r="D16" i="14" l="1"/>
  <c r="D19" i="14"/>
  <c r="D20" i="14"/>
  <c r="D21" i="14"/>
  <c r="F12" i="15"/>
  <c r="F11" i="15"/>
  <c r="F10" i="15"/>
  <c r="F9" i="15"/>
  <c r="E9" i="15"/>
  <c r="F8" i="15"/>
  <c r="E8" i="15"/>
  <c r="F7" i="15"/>
  <c r="E7" i="15"/>
  <c r="F23" i="14"/>
  <c r="F22" i="14"/>
  <c r="F21" i="14"/>
  <c r="F20" i="14"/>
  <c r="F19" i="14"/>
  <c r="F18" i="14"/>
  <c r="F17" i="14"/>
  <c r="D23" i="14" l="1"/>
  <c r="D18" i="14"/>
  <c r="D24" i="14"/>
  <c r="F24" i="14"/>
  <c r="E25" i="14" l="1"/>
  <c r="F16" i="14"/>
  <c r="C13" i="15" l="1"/>
  <c r="B13" i="15"/>
  <c r="D13" i="15" s="1"/>
  <c r="F13" i="15" l="1"/>
  <c r="E13" i="15"/>
</calcChain>
</file>

<file path=xl/sharedStrings.xml><?xml version="1.0" encoding="utf-8"?>
<sst xmlns="http://schemas.openxmlformats.org/spreadsheetml/2006/main" count="1026" uniqueCount="539">
  <si>
    <t xml:space="preserve"> #</t>
  </si>
  <si>
    <t>Nº de artículo</t>
  </si>
  <si>
    <t>DRUM</t>
  </si>
  <si>
    <t>INYECTOR</t>
  </si>
  <si>
    <t>GAUGE</t>
  </si>
  <si>
    <t>1200001</t>
  </si>
  <si>
    <t>1200002</t>
  </si>
  <si>
    <t>1200003</t>
  </si>
  <si>
    <t>1200004</t>
  </si>
  <si>
    <t>1200005</t>
  </si>
  <si>
    <t>1200006</t>
  </si>
  <si>
    <t>1200007</t>
  </si>
  <si>
    <t>1200008</t>
  </si>
  <si>
    <t>1200009</t>
  </si>
  <si>
    <t>1200010</t>
  </si>
  <si>
    <t>1200011</t>
  </si>
  <si>
    <t>1200012</t>
  </si>
  <si>
    <t>1200013</t>
  </si>
  <si>
    <t>1200014</t>
  </si>
  <si>
    <t>1200015</t>
  </si>
  <si>
    <t>1200016</t>
  </si>
  <si>
    <t>1200017</t>
  </si>
  <si>
    <t>1200018</t>
  </si>
  <si>
    <t>POLYVIDONE KOLLIDON 30 BASF</t>
  </si>
  <si>
    <t>1200019</t>
  </si>
  <si>
    <t>POLYVIDONE KOLLIDON 25 BASF</t>
  </si>
  <si>
    <t>1200020</t>
  </si>
  <si>
    <t>1200021</t>
  </si>
  <si>
    <t>1200022</t>
  </si>
  <si>
    <t>1200023</t>
  </si>
  <si>
    <t>1200024</t>
  </si>
  <si>
    <t>1200025</t>
  </si>
  <si>
    <t>1200026</t>
  </si>
  <si>
    <t>1200027</t>
  </si>
  <si>
    <t>1200028</t>
  </si>
  <si>
    <t>1200029</t>
  </si>
  <si>
    <t>1200030</t>
  </si>
  <si>
    <t>1200031</t>
  </si>
  <si>
    <t>1200032</t>
  </si>
  <si>
    <t>1200033</t>
  </si>
  <si>
    <t>1200034</t>
  </si>
  <si>
    <t>1200035</t>
  </si>
  <si>
    <t>1200036</t>
  </si>
  <si>
    <t>1200037</t>
  </si>
  <si>
    <t>1200038</t>
  </si>
  <si>
    <t>1200039</t>
  </si>
  <si>
    <t>1200040</t>
  </si>
  <si>
    <t>1200041</t>
  </si>
  <si>
    <t>1200042</t>
  </si>
  <si>
    <t>1200043</t>
  </si>
  <si>
    <t>1200044</t>
  </si>
  <si>
    <t>1200045</t>
  </si>
  <si>
    <t>1200046</t>
  </si>
  <si>
    <t>1200047</t>
  </si>
  <si>
    <t>1200048</t>
  </si>
  <si>
    <t>1200049</t>
  </si>
  <si>
    <t>1200050</t>
  </si>
  <si>
    <t>1200051</t>
  </si>
  <si>
    <t>1200052</t>
  </si>
  <si>
    <t>1200053</t>
  </si>
  <si>
    <t>1200054</t>
  </si>
  <si>
    <t>1200055</t>
  </si>
  <si>
    <t>1200056</t>
  </si>
  <si>
    <t>1200057</t>
  </si>
  <si>
    <t>1200058</t>
  </si>
  <si>
    <t>1200059</t>
  </si>
  <si>
    <t>1200060</t>
  </si>
  <si>
    <t>1200061</t>
  </si>
  <si>
    <t>1200062</t>
  </si>
  <si>
    <t>1200063</t>
  </si>
  <si>
    <t>1200064</t>
  </si>
  <si>
    <t>1200065</t>
  </si>
  <si>
    <t>1200066</t>
  </si>
  <si>
    <t>1200067</t>
  </si>
  <si>
    <t>1200068</t>
  </si>
  <si>
    <t>1200069</t>
  </si>
  <si>
    <t>1200070</t>
  </si>
  <si>
    <t>1200071</t>
  </si>
  <si>
    <t>1200072</t>
  </si>
  <si>
    <t>1200073</t>
  </si>
  <si>
    <t>1200074</t>
  </si>
  <si>
    <t>1200075</t>
  </si>
  <si>
    <t>1200076</t>
  </si>
  <si>
    <t>1200077</t>
  </si>
  <si>
    <t>1200078</t>
  </si>
  <si>
    <t>GELATIN NEOMODULUS</t>
  </si>
  <si>
    <t>CARBOTHANE PC 3572D</t>
  </si>
  <si>
    <t>ZINC OXIDE CR-4 USP 5</t>
  </si>
  <si>
    <t>POLYACRYLONITRILE POWDER</t>
  </si>
  <si>
    <t>POLYACRYLONITRILE NUS</t>
  </si>
  <si>
    <t>Nombre Proyecto</t>
  </si>
  <si>
    <t>Código Proyecto</t>
  </si>
  <si>
    <t>Cliente</t>
  </si>
  <si>
    <t>Fecha de inicio</t>
  </si>
  <si>
    <t>R&amp;D Leader</t>
  </si>
  <si>
    <t xml:space="preserve">Masa disolución (g) </t>
  </si>
  <si>
    <t>Ratios (%)</t>
  </si>
  <si>
    <t>Porcentaje (%)</t>
  </si>
  <si>
    <t xml:space="preserve"> Disolventes</t>
  </si>
  <si>
    <t>Polímeros</t>
  </si>
  <si>
    <t>Sólidos</t>
  </si>
  <si>
    <t xml:space="preserve">FORMULA </t>
  </si>
  <si>
    <t>TOTAL</t>
  </si>
  <si>
    <t>Comentarios:</t>
  </si>
  <si>
    <t>Viscosidad (cP)</t>
  </si>
  <si>
    <t>Tensión superficial (mN/m)</t>
  </si>
  <si>
    <t>Conductividad (microS)</t>
  </si>
  <si>
    <t>Contenido en sólidos (%)</t>
  </si>
  <si>
    <t>Densidad (Kg/l)</t>
  </si>
  <si>
    <t>PH</t>
  </si>
  <si>
    <t>Fecha</t>
  </si>
  <si>
    <t>Disolvente A</t>
  </si>
  <si>
    <t>Porcentaje Disolvente A</t>
  </si>
  <si>
    <t>Ratio Disolvente A</t>
  </si>
  <si>
    <t>Disolvente B</t>
  </si>
  <si>
    <t>Porcentaje Disolvente B</t>
  </si>
  <si>
    <t>Ratio Disolvente B</t>
  </si>
  <si>
    <t>Disolvente C</t>
  </si>
  <si>
    <t>Porcentaje Disolvente C</t>
  </si>
  <si>
    <t>Ratio Disolvente C</t>
  </si>
  <si>
    <t>Polimero A</t>
  </si>
  <si>
    <t>Porcentaje Polimero A</t>
  </si>
  <si>
    <t>Ratio Polimero A</t>
  </si>
  <si>
    <t>Ratio Solidos Polimero A</t>
  </si>
  <si>
    <t>Polimero B</t>
  </si>
  <si>
    <t>Porcentaje Polimero B</t>
  </si>
  <si>
    <t>Ratio Polimero B</t>
  </si>
  <si>
    <t>Ratio Solidos Polimero B</t>
  </si>
  <si>
    <t>Polimero C</t>
  </si>
  <si>
    <t>Porcentaje Polimero C</t>
  </si>
  <si>
    <t>Ratio Polimero C</t>
  </si>
  <si>
    <t>Ratio Solidos Polimero C</t>
  </si>
  <si>
    <t>Aditivo A/ API</t>
  </si>
  <si>
    <t>Porcentaje Aditivo A/ API</t>
  </si>
  <si>
    <t>Ratio Solidos Aditivo A/ API</t>
  </si>
  <si>
    <t>Aditivo B /API</t>
  </si>
  <si>
    <t>Porcentaje Aditivo B /API</t>
  </si>
  <si>
    <t>Ratio Solidos Aditivo B /API</t>
  </si>
  <si>
    <t>Aditivo C /API</t>
  </si>
  <si>
    <t>Porcentaje Aditivo C /API</t>
  </si>
  <si>
    <t>Ratio Solidos Aditivo C /API</t>
  </si>
  <si>
    <t>Comentarios</t>
  </si>
  <si>
    <t>Fecha Caracterización</t>
  </si>
  <si>
    <t>FORMATO</t>
  </si>
  <si>
    <t xml:space="preserve">FORMULA, PROCESO Y CARACTERIZACIÓN </t>
  </si>
  <si>
    <t>Página 1 de 2</t>
  </si>
  <si>
    <t>CARACTERIZACIÓN DISOLUCIONES</t>
  </si>
  <si>
    <t xml:space="preserve">NOMBRE DE LA DISOLUCIÓN: </t>
  </si>
  <si>
    <t xml:space="preserve">FECHA: </t>
  </si>
  <si>
    <t xml:space="preserve">PROYECTO: </t>
  </si>
  <si>
    <t xml:space="preserve">CÓDIGO (BEAS): </t>
  </si>
  <si>
    <t xml:space="preserve">PREPARADA POR: </t>
  </si>
  <si>
    <t>MASA TOTAL:</t>
  </si>
  <si>
    <t>NOMBRE [Polímero, disolvente, disolución u otra sustancia]</t>
  </si>
  <si>
    <t>LOTE/MATERIAL</t>
  </si>
  <si>
    <t>REF.BEAS</t>
  </si>
  <si>
    <t>Masa teórica (g)</t>
  </si>
  <si>
    <t>Masa Real (g)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</si>
  <si>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</si>
  <si>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</si>
  <si>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</si>
  <si>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</si>
  <si>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</si>
  <si>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</si>
  <si>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</si>
  <si>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</si>
  <si>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</si>
  <si>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Equipo usado para mezclar</t>
  </si>
  <si>
    <r>
      <t>Temperatura  (</t>
    </r>
    <r>
      <rPr>
        <sz val="9"/>
        <color theme="1"/>
        <rFont val="Calibri"/>
        <family val="2"/>
      </rPr>
      <t>°</t>
    </r>
    <r>
      <rPr>
        <sz val="9"/>
        <color theme="1"/>
        <rFont val="Calibri"/>
        <family val="2"/>
        <scheme val="minor"/>
      </rPr>
      <t>C) y velocidad de agitación (rpm)</t>
    </r>
  </si>
  <si>
    <t>Tiempo agitación (h)</t>
  </si>
  <si>
    <t>Orden de mezclado</t>
  </si>
  <si>
    <t>OBSERVACIONES</t>
  </si>
  <si>
    <t>CARACTERIZACIÓN</t>
  </si>
  <si>
    <t>Marcar con un X el ensayo a realizar.</t>
  </si>
  <si>
    <t>Valor de la medida</t>
  </si>
  <si>
    <t>Rango aceptable</t>
  </si>
  <si>
    <t>Tensión superficial</t>
  </si>
  <si>
    <t>mN/m</t>
  </si>
  <si>
    <t>Conductividad</t>
  </si>
  <si>
    <t>X</t>
  </si>
  <si>
    <t>µS/cm</t>
  </si>
  <si>
    <t>Contenido en sólidos</t>
  </si>
  <si>
    <t>%</t>
  </si>
  <si>
    <t>Densidad</t>
  </si>
  <si>
    <t>kg/l</t>
  </si>
  <si>
    <t>pH</t>
  </si>
  <si>
    <t>Viscosidad</t>
  </si>
  <si>
    <t>cP</t>
  </si>
  <si>
    <t>Temperatura de medida (aceptable: 20-25 °C)</t>
  </si>
  <si>
    <t>RPM (Viscosidad)</t>
  </si>
  <si>
    <t>Husillo (Viscosidad)</t>
  </si>
  <si>
    <t>PROCESO</t>
  </si>
  <si>
    <t>OBJETIVO</t>
  </si>
  <si>
    <t>MONTAJE</t>
  </si>
  <si>
    <t>NºAGUJAS</t>
  </si>
  <si>
    <t>DEFLECTORES</t>
  </si>
  <si>
    <t>SUSTRATO</t>
  </si>
  <si>
    <t>BRAZO ARTICULADO</t>
  </si>
  <si>
    <t>COMENTARIOS</t>
  </si>
  <si>
    <t>INFORMACIÓN GENERAL</t>
  </si>
  <si>
    <t>PRUEBAS CON R2R</t>
  </si>
  <si>
    <t>PARÁMETROS</t>
  </si>
  <si>
    <t>RESULTADOS</t>
  </si>
  <si>
    <t>Propósito</t>
  </si>
  <si>
    <t>Inyector</t>
  </si>
  <si>
    <t>Numero de agujas</t>
  </si>
  <si>
    <t>aguja (G)</t>
  </si>
  <si>
    <t>Sustrato</t>
  </si>
  <si>
    <t>Tiempo de prueba (min)</t>
  </si>
  <si>
    <t>Tipo de Drum</t>
  </si>
  <si>
    <t>Q1 (mL/h)</t>
  </si>
  <si>
    <t>HV+ (KV)</t>
  </si>
  <si>
    <t>HV- (KV)</t>
  </si>
  <si>
    <t>T (ºC)</t>
  </si>
  <si>
    <t>RH (%)</t>
  </si>
  <si>
    <t>Posicion Y</t>
  </si>
  <si>
    <t>Velocidad sweep Y (mm/s)</t>
  </si>
  <si>
    <t>Amplitud Sweep Y (mm)</t>
  </si>
  <si>
    <t>Velocidad sweep X  (mm/s)</t>
  </si>
  <si>
    <t>Amplitud Sweep X (mm)</t>
  </si>
  <si>
    <t>Grado de Procesabilidad</t>
  </si>
  <si>
    <t>Comentarios del Proceso</t>
  </si>
  <si>
    <t>PROCESSABILITY GRADES</t>
  </si>
  <si>
    <t>GRADOS DE PROCESABILIDAD</t>
  </si>
  <si>
    <t>Unprocessable</t>
  </si>
  <si>
    <t>Dropping, not produce fibers, dirty process, wet mat, unstable at time...</t>
  </si>
  <si>
    <t>IMPOSSIBLE TO UP-SCALING</t>
  </si>
  <si>
    <t>Improcesable</t>
  </si>
  <si>
    <t xml:space="preserve"> Gotea, no produce fibras, proceso sucio,  mat mojado, inestable en el tiempo...
</t>
  </si>
  <si>
    <t>IMPOSIBLE DE ESCALAR</t>
  </si>
  <si>
    <t>Bad Processability</t>
  </si>
  <si>
    <t>Produce fibers, dirty process,  unstable at time, presence of microdrops,delicate enviromental conditions, risk of srinkage…</t>
  </si>
  <si>
    <t>Mala procesabilidad</t>
  </si>
  <si>
    <t>Produce fibras, proceso sucio, inestable en el tiempo, presencia de microgotas, condiciones ambientales delicadas, riesgo de encogimiento……</t>
  </si>
  <si>
    <t>Good Processability</t>
  </si>
  <si>
    <t>Produce fibers,Stable process at time, a little bit dirty, process with 5 with more than 0,5 ml/h per needle, delicate environmental conditions, risk of srinkage…</t>
  </si>
  <si>
    <t>EXCEPTIONALLY POSSIBLE TO UP-SCALING</t>
  </si>
  <si>
    <t>Buena procesabilidad</t>
  </si>
  <si>
    <t>Produce fibras, Proceso estable en el tiempo, un poco sucio, proceso con 5 agujas a caudal superior a 0,5 ml/h por aguja, condiciones ambientales delicadas, riesgo de encogimiento…</t>
  </si>
  <si>
    <t>EXCEPCIONALMENTE ESCALABLE</t>
  </si>
  <si>
    <t>High Processability</t>
  </si>
  <si>
    <t>Produce fibers,stable process at time, clean, process with more than 5 needles with flow more than 1 ml/h per needle, srinkage does not observed...</t>
  </si>
  <si>
    <t>POSSIBLE TO UP-SCALING</t>
  </si>
  <si>
    <t>Alta procesabilidad</t>
  </si>
  <si>
    <t>Produce fibras, proceso estable en el tiempo, limpio, procesa con más de 5 agujas a caudal superior o igual a 1 ml/h por aguja, no se observa encogimiento…</t>
  </si>
  <si>
    <t>POSIBLE PARA ESCALAR</t>
  </si>
  <si>
    <t>Maquina</t>
  </si>
  <si>
    <t>Plataforma</t>
  </si>
  <si>
    <t>Numero setup</t>
  </si>
  <si>
    <t>Tamaño_drum</t>
  </si>
  <si>
    <t>Velocidad_drum (rpm)</t>
  </si>
  <si>
    <t>Velocidad_r2r (mm/s)</t>
  </si>
  <si>
    <t>Numero de ciclos (R2R)</t>
  </si>
  <si>
    <t>Formula</t>
  </si>
  <si>
    <t>Setup</t>
  </si>
  <si>
    <t>Etanol</t>
  </si>
  <si>
    <t>Código:</t>
  </si>
  <si>
    <t>Edición:</t>
  </si>
  <si>
    <t xml:space="preserve">Fecha rev: </t>
  </si>
  <si>
    <t>Lista de materiales utilizados en el proyecto</t>
  </si>
  <si>
    <t>Deflectores</t>
  </si>
  <si>
    <t>PES - Polietersulfona - ULTRASON E 6020 P</t>
  </si>
  <si>
    <t>PP SPUNBOND 17 GRS</t>
  </si>
  <si>
    <t>DMSO - Dimetilsulfóxido - Merck</t>
  </si>
  <si>
    <t>DCM - Diclorometano - Merck</t>
  </si>
  <si>
    <t>DMC - Carbonato de dimetilo - Merck</t>
  </si>
  <si>
    <t>EtOAc - Acetato de etilo - Merck</t>
  </si>
  <si>
    <t>AcCell - Acetato de celulosa 100kDa - Fischer</t>
  </si>
  <si>
    <t>Polietileno negro sustrato - 10kohm/sq - Caplinq</t>
  </si>
  <si>
    <t>Polietileno negro sustrato - 50kohm/sq - Caplinq</t>
  </si>
  <si>
    <t>PEO - 900kDa - Merck</t>
  </si>
  <si>
    <t>Filtura Support 3H17-17-70E1Z - 154,9 cm width</t>
  </si>
  <si>
    <t>PEO - 600kDa - Polyox</t>
  </si>
  <si>
    <t>PEO - 7MDa - Polyox</t>
  </si>
  <si>
    <t>PEO - 4MDa -Alroko</t>
  </si>
  <si>
    <t>PEO - 2MDa - Polyox</t>
  </si>
  <si>
    <t>PEO - 300kDa</t>
  </si>
  <si>
    <t>PEO - 100kDa- SIGMA ALDRICH</t>
  </si>
  <si>
    <t>PEO - 4MDa - Polyox</t>
  </si>
  <si>
    <t>Ethyl Acetate (acetato de etilo) Sgima, ACS reagent 99.5%</t>
  </si>
  <si>
    <t>DMSO - Dimetilsulfóxido - ACS reagent - Merck</t>
  </si>
  <si>
    <t>Cellulose acetate (acetato de celulosa), Sigma, 30 kDa</t>
  </si>
  <si>
    <t>Iron (III) oxide, nanopowder, &lt;50 nm particle size</t>
  </si>
  <si>
    <t>Ethyl Cellulose-SIGMA ALDRICH</t>
  </si>
  <si>
    <t>HPMC 100CP - SIGMA ALDRICH</t>
  </si>
  <si>
    <t>PEG - Polietilenglicol - 10kDa - Sigma Aldrich</t>
  </si>
  <si>
    <t>PVP 360K MERCK - SIGMA ALDRICH</t>
  </si>
  <si>
    <t>PCL 14000 - SIGMA ALDRICH</t>
  </si>
  <si>
    <t>CATB - SIGMA ALDRICH</t>
  </si>
  <si>
    <t>D-MANNITOL- SIGMA ALDRICH</t>
  </si>
  <si>
    <t>TECOPHILIC SP-80A-150</t>
  </si>
  <si>
    <t>UBE NYLON 1022B</t>
  </si>
  <si>
    <t>TECOPHILIC HP-60D-60</t>
  </si>
  <si>
    <t>SODIUM HYDROXIDE-EMPLURA</t>
  </si>
  <si>
    <t>POTASSIUM CLHORIDE - HONEYWELL</t>
  </si>
  <si>
    <t>2 CLHORO-N,N-DIETHYLAMINE HYDROCHLORIDE - SIGMA ALDRICH</t>
  </si>
  <si>
    <t>PEG - Polietilenglicol - 20kDa - Sigma Aldrich</t>
  </si>
  <si>
    <t>MAGNESIUM STEARATE - SIGMA ALDRICH</t>
  </si>
  <si>
    <t>LITHIUM BROMIDE - GPR RECTAPUR</t>
  </si>
  <si>
    <t>RESOMER RG 503 H,POLY(D, L-LACTIDE-CO-GLYCOLIDE) - SIGMA ALDRICH</t>
  </si>
  <si>
    <t>EUDRAGIT FS 100</t>
  </si>
  <si>
    <t>ZEINA</t>
  </si>
  <si>
    <t>CHITOSAN FOOD GRADE</t>
  </si>
  <si>
    <t>ALGINATE BR-L LOW VISCOSITY</t>
  </si>
  <si>
    <t>CELLULOSE CAB (EASTMAN)</t>
  </si>
  <si>
    <t>MILLED LACTOSE MONOHYDRATED</t>
  </si>
  <si>
    <t>PEO - 300kDa - POLYOX</t>
  </si>
  <si>
    <t>R-2A AGAR - SIGMA ALDRICH</t>
  </si>
  <si>
    <t>PVDF2821</t>
  </si>
  <si>
    <t>PEOR400X-ALROKO</t>
  </si>
  <si>
    <t>NYLON 6,6 - SIGMA ALDRICH</t>
  </si>
  <si>
    <t>PA 6 SP 25 KDA</t>
  </si>
  <si>
    <t>PVA PARTECK - EMPROVE ESSENTIAL</t>
  </si>
  <si>
    <t>TECOPHILIC HP-60D-35</t>
  </si>
  <si>
    <t>HEXADECYMETHYLAMMONIUM BROMIDE</t>
  </si>
  <si>
    <t>MeOH - Metanol - 99.6% - Sigma Aldrich</t>
  </si>
  <si>
    <t>PEO - Xel01</t>
  </si>
  <si>
    <t>XP-034 - Xel01</t>
  </si>
  <si>
    <t>oleic acid</t>
  </si>
  <si>
    <t>formic acid 98%</t>
  </si>
  <si>
    <t>tecophilic SP-93A-100</t>
  </si>
  <si>
    <t>acetic acid - sigma-aldrich</t>
  </si>
  <si>
    <t>Decane</t>
  </si>
  <si>
    <t>Dodecane</t>
  </si>
  <si>
    <t>Heptane</t>
  </si>
  <si>
    <t>Hexadecane</t>
  </si>
  <si>
    <t>Mineral Oil</t>
  </si>
  <si>
    <t>Octane</t>
  </si>
  <si>
    <t>Tetradecane</t>
  </si>
  <si>
    <t>DMAc - Dimetilacetamida - Stockmeier Química</t>
  </si>
  <si>
    <t>ELASTOLLAN 1195A TPU BASF</t>
  </si>
  <si>
    <t>Agua destilada</t>
  </si>
  <si>
    <t>Acetona</t>
  </si>
  <si>
    <t>Codigo muestra</t>
  </si>
  <si>
    <t>Calcular nueva formula</t>
  </si>
  <si>
    <t>Consultar formulas existentes</t>
  </si>
  <si>
    <t>PES</t>
  </si>
  <si>
    <t>PP</t>
  </si>
  <si>
    <t>DMSO</t>
  </si>
  <si>
    <t>DCM</t>
  </si>
  <si>
    <t>DMC</t>
  </si>
  <si>
    <t>EtOAc</t>
  </si>
  <si>
    <t>PEO</t>
  </si>
  <si>
    <t>PVP</t>
  </si>
  <si>
    <t>PEG</t>
  </si>
  <si>
    <t>PCL</t>
  </si>
  <si>
    <t>Zein</t>
  </si>
  <si>
    <t>Gelatin</t>
  </si>
  <si>
    <t>Chitosan</t>
  </si>
  <si>
    <t>Alginate</t>
  </si>
  <si>
    <t>Nylon</t>
  </si>
  <si>
    <t>PAN</t>
  </si>
  <si>
    <t>PVDF</t>
  </si>
  <si>
    <t>PA</t>
  </si>
  <si>
    <t>PVA</t>
  </si>
  <si>
    <t>Sulfone polymer</t>
  </si>
  <si>
    <t>Polyolefin</t>
  </si>
  <si>
    <t>Cellulose derivative</t>
  </si>
  <si>
    <t>Polyether</t>
  </si>
  <si>
    <t>Vinyl polymer</t>
  </si>
  <si>
    <t>Protein</t>
  </si>
  <si>
    <t>Polysaccharide</t>
  </si>
  <si>
    <t>Acrylic polymer</t>
  </si>
  <si>
    <t>Fluoropolymer</t>
  </si>
  <si>
    <t>Polyamide</t>
  </si>
  <si>
    <t>molecular_weight_kDa</t>
  </si>
  <si>
    <t>name</t>
  </si>
  <si>
    <t>short_name</t>
  </si>
  <si>
    <t>polymer_family</t>
  </si>
  <si>
    <t>solvent_family</t>
  </si>
  <si>
    <t>category</t>
  </si>
  <si>
    <t>solvent</t>
  </si>
  <si>
    <t>polymer</t>
  </si>
  <si>
    <t>substrate</t>
  </si>
  <si>
    <t>nanoparticle</t>
  </si>
  <si>
    <t>surfactant</t>
  </si>
  <si>
    <t>salt</t>
  </si>
  <si>
    <t>water</t>
  </si>
  <si>
    <t>acetone</t>
  </si>
  <si>
    <t>etOH</t>
  </si>
  <si>
    <t>CA</t>
  </si>
  <si>
    <t>PE substrate</t>
  </si>
  <si>
    <t>EC</t>
  </si>
  <si>
    <t>Fe2O3</t>
  </si>
  <si>
    <t>HPMC</t>
  </si>
  <si>
    <t>CATB</t>
  </si>
  <si>
    <t>mannito</t>
  </si>
  <si>
    <t>TPU</t>
  </si>
  <si>
    <t>NaOH</t>
  </si>
  <si>
    <t>KCl</t>
  </si>
  <si>
    <t>ZnO</t>
  </si>
  <si>
    <t>LiBr</t>
  </si>
  <si>
    <t>PLGA</t>
  </si>
  <si>
    <t>CAB</t>
  </si>
  <si>
    <t>Lactose</t>
  </si>
  <si>
    <t>Agar</t>
  </si>
  <si>
    <t>CTAB</t>
  </si>
  <si>
    <t>MeOH</t>
  </si>
  <si>
    <t>formic acid</t>
  </si>
  <si>
    <t>acetic acid</t>
  </si>
  <si>
    <t>decane</t>
  </si>
  <si>
    <t>dodecane</t>
  </si>
  <si>
    <t>heptane</t>
  </si>
  <si>
    <t>hexadecane</t>
  </si>
  <si>
    <t>mineal oil</t>
  </si>
  <si>
    <t>octaine</t>
  </si>
  <si>
    <t>tetradecane</t>
  </si>
  <si>
    <t>DMAc</t>
  </si>
  <si>
    <t>Polyurethane</t>
  </si>
  <si>
    <t>Polyester</t>
  </si>
  <si>
    <t>Ketone</t>
  </si>
  <si>
    <t>Alcohol</t>
  </si>
  <si>
    <t>Sulfoxide</t>
  </si>
  <si>
    <t>Halogenated</t>
  </si>
  <si>
    <t>Carbonate</t>
  </si>
  <si>
    <t>Ester</t>
  </si>
  <si>
    <t>Organic acid</t>
  </si>
  <si>
    <t>Alkane</t>
  </si>
  <si>
    <t>Hydrocarbon oil</t>
  </si>
  <si>
    <t>Amide</t>
  </si>
  <si>
    <t>available</t>
  </si>
  <si>
    <t>yes</t>
  </si>
  <si>
    <t>avg fiber diameter (nm)</t>
  </si>
  <si>
    <t>PES_23_ZnO</t>
  </si>
  <si>
    <t>Posicion Z</t>
  </si>
  <si>
    <t>Morfología SEM</t>
  </si>
  <si>
    <t>SEM Morphology</t>
  </si>
  <si>
    <t>Particles</t>
  </si>
  <si>
    <t>Continuos layer</t>
  </si>
  <si>
    <t>Interconected particles</t>
  </si>
  <si>
    <t>Homogeneous fibers</t>
  </si>
  <si>
    <t>Fibers with casting regions</t>
  </si>
  <si>
    <t>Fibers with incipient beads</t>
  </si>
  <si>
    <t>CL</t>
  </si>
  <si>
    <t>P</t>
  </si>
  <si>
    <t>IP</t>
  </si>
  <si>
    <t>FC</t>
  </si>
  <si>
    <t>FB</t>
  </si>
  <si>
    <t>FI</t>
  </si>
  <si>
    <t>HF</t>
  </si>
  <si>
    <t>Only isolated particles observed. No fiber formation.</t>
  </si>
  <si>
    <t>Predominantly particles with necking or partial interconnection between adjacent particles.</t>
  </si>
  <si>
    <t>Fibers coexist with films, membranes or cast-like regions</t>
  </si>
  <si>
    <t>Predominantly fibrous structure with visible bead defects</t>
  </si>
  <si>
    <t>Fibrous structure with occasional or very small beads.</t>
  </si>
  <si>
    <t>Continuous bead-free fibers. Uniform morphology</t>
  </si>
  <si>
    <t>Fibers with beads</t>
  </si>
  <si>
    <t>Continuous film or cast layer</t>
  </si>
  <si>
    <t>Electrospray</t>
  </si>
  <si>
    <t>Transition</t>
  </si>
  <si>
    <t>Electrospinning</t>
  </si>
  <si>
    <t>Film formation</t>
  </si>
  <si>
    <t>Electrospinning defective</t>
  </si>
  <si>
    <t>FORMULA</t>
  </si>
  <si>
    <t>BUSCAR FORMULA</t>
  </si>
  <si>
    <t>working_distance (mm)</t>
  </si>
  <si>
    <t>Film continuo</t>
  </si>
  <si>
    <t>Particulas</t>
  </si>
  <si>
    <t>Particulas conectadas</t>
  </si>
  <si>
    <t>Fibras con regiones fundidas/casting</t>
  </si>
  <si>
    <t>Fibras con beads</t>
  </si>
  <si>
    <t>Fibras homogeneas</t>
  </si>
  <si>
    <t>Fibras con beads incipientes</t>
  </si>
  <si>
    <t>Electrospinning defectuoso</t>
  </si>
  <si>
    <t>Transicion</t>
  </si>
  <si>
    <t>PULLULAN COSMETIC GRADE</t>
  </si>
  <si>
    <t>CAFFEINE</t>
  </si>
  <si>
    <t>CHLOROFORM ANHYDROUS 99%</t>
  </si>
  <si>
    <t>DIMETHYL FORMAMIDE</t>
  </si>
  <si>
    <t>EUDRAGIT RS100 PROD</t>
  </si>
  <si>
    <t>ISOPROPANOL SIGMA ALDRICH</t>
  </si>
  <si>
    <t>PEG400 SIGMA GRADO R&amp;D</t>
  </si>
  <si>
    <t>PVOH KURARAY 18-88</t>
  </si>
  <si>
    <t>PEO PROD COLORCON</t>
  </si>
  <si>
    <t>PVP 90F PROD</t>
  </si>
  <si>
    <t>PCL 6800 D PRODUCCION</t>
  </si>
  <si>
    <t>Propylene glycol</t>
  </si>
  <si>
    <t>Eucalyptol</t>
  </si>
  <si>
    <t>no</t>
  </si>
  <si>
    <t>POC Fibers Pharma</t>
  </si>
  <si>
    <t>Bioinicia</t>
  </si>
  <si>
    <t>CAF_1_CTRL</t>
  </si>
  <si>
    <t>CAFEINA en agua a 37 grados. Cuando se disuelva PVOH a 37. Luego pululan y luego ISOP</t>
  </si>
  <si>
    <t>CAF_1</t>
  </si>
  <si>
    <t>Cafeina en agua, ACIDO OLEICO EN ISOPROPANOL. Luego PVOH en agua, luego Pululano en agua, finalmente el isopropanol a todo</t>
  </si>
  <si>
    <t>CAF2_CTRL</t>
  </si>
  <si>
    <t>Cafeína en DMF, El eudragit en cloroformo, se mezclan ambos después</t>
  </si>
  <si>
    <t>CAF_PLACEBO</t>
  </si>
  <si>
    <t>CAF_1_CTRL_V2</t>
  </si>
  <si>
    <t>CAF_1_V2</t>
  </si>
  <si>
    <t>CAF_PEO_2</t>
  </si>
  <si>
    <t>CAF_PVP_3</t>
  </si>
  <si>
    <t>CAF_PVP_4</t>
  </si>
  <si>
    <t>CAF_PULL_2</t>
  </si>
  <si>
    <t>IPA al final</t>
  </si>
  <si>
    <t>CAF_PEO_2b</t>
  </si>
  <si>
    <t>CAF_PCL_1</t>
  </si>
  <si>
    <t>CAF_PCL_2</t>
  </si>
  <si>
    <t>CAF_PEO_2c</t>
  </si>
  <si>
    <t>CAF_PEO_2d</t>
  </si>
  <si>
    <t>CAF_PEO_2e</t>
  </si>
  <si>
    <t>CAF_PEO_3</t>
  </si>
  <si>
    <t>CAF_PEO_2f</t>
  </si>
  <si>
    <t>CAF_PEO_2v2</t>
  </si>
  <si>
    <t>CAF_PEO_placebo</t>
  </si>
  <si>
    <t>negro</t>
  </si>
  <si>
    <t>mediano</t>
  </si>
  <si>
    <t>rotacional</t>
  </si>
  <si>
    <t>Distancia entre agujas (mm)</t>
  </si>
  <si>
    <t xml:space="preserve">Ver como va </t>
  </si>
  <si>
    <t>PRODUCCIÓN</t>
  </si>
  <si>
    <t xml:space="preserve">iba bien </t>
  </si>
  <si>
    <t>iba bien pero se le ha tenido que meter más voltaje</t>
  </si>
  <si>
    <t xml:space="preserve">hacía un poco de pelo y aunque hace fibras, son muy frágiles, descartamos </t>
  </si>
  <si>
    <t xml:space="preserve">Va bien. GSM: 11. Recomiendo el uso de placas para evitar la perdida de material por las agujas de los extremos </t>
  </si>
  <si>
    <t>Va bien. GSM: 16. Recomiendo uso de placas para evitar perder deposicón de las agujas de los extremos</t>
  </si>
  <si>
    <t>siliconado</t>
  </si>
  <si>
    <t>si</t>
  </si>
  <si>
    <t>pequeño</t>
  </si>
  <si>
    <t>30 (23-20)</t>
  </si>
  <si>
    <t>Electroestira muy bien. El proceso es muy estable. Se obtiene un material con 21.20 gsm</t>
  </si>
  <si>
    <t>Electroestira muy bien. El proceso es muy estable. Se obtiene un material con 20,50 gsm</t>
  </si>
  <si>
    <t>Electroestira muy bien, proceso muy estable. Se obtiene un material con 46,54 gsm</t>
  </si>
  <si>
    <t>Electroestira muy bien, proceso muy estable. Se obtiene un material con 49,45 gsm. Cuando se saca el material del drum se encoje rapidamente.</t>
  </si>
  <si>
    <t xml:space="preserve">Electroestira muy bien, proceso muy estable. Se obtiene un material con 73,3gsm </t>
  </si>
  <si>
    <t xml:space="preserve">Electroestira muy bien, proceso muy estable. El material se deja en el drum durante 20min para aliviar las tensiones del polímero pero cuando lo sacamos del drum encoje. </t>
  </si>
  <si>
    <t>Electroestira muy bien, proceso muy estable. Se obtiene un material con 67,2 gsm</t>
  </si>
  <si>
    <t xml:space="preserve">Electroestira muy bien, proceso muy estable. Se obtiene un material con 132 gsm </t>
  </si>
  <si>
    <t>PRODUCCION</t>
  </si>
  <si>
    <t>gms: 16</t>
  </si>
  <si>
    <t>PROBAR PROCESABILIDAD</t>
  </si>
  <si>
    <t xml:space="preserve">Electroestira pero algunas fibras se van, el proceso no es estable, se secan las puntas </t>
  </si>
  <si>
    <t>PROBAR PROCESABILIDAD y PRODUCIR</t>
  </si>
  <si>
    <t>Electroestira pero al cabo del tiempo se forma moco, el proceso es poco estable</t>
  </si>
  <si>
    <t xml:space="preserve">Electroestira aparentemente bien, proceso estable. Después de 1h de proceso , se obstruyen 2 agujas y se forma moco. Cambio pertinente y continua estable el proceso. Se obtiene un material con 82,70 gsm </t>
  </si>
  <si>
    <t>Electroestira bastante bien, proceso estable. Se obtiene un material con 69 gsm. Las fibras son bastante elásticas</t>
  </si>
  <si>
    <t>Electroestira muy bien, proceso muy estable. Se obtiene un material con  gsm</t>
  </si>
  <si>
    <t>Electroestira bien, forma un poco de moco se baja la temperature (30-&gt; 25) y se aumenta la humedad (25-&gt; 30). Se obtiene un material con 77,65 gsm</t>
  </si>
  <si>
    <t xml:space="preserve">SE PARA ELPROCESO PORQUE ES INESTABLE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</si>
</sst>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%"/>
  </numFmts>
  <fonts count="39" x14ac:knownFonts="1">
    <font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6"/>
      <color rgb="FF00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Tahoma"/>
      <family val="2"/>
    </font>
    <font>
      <sz val="9"/>
      <color theme="1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7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9"/>
      <color theme="1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b/>
      <sz val="16"/>
      <color theme="1"/>
      <name val="Calibri"/>
      <family val="2"/>
      <scheme val="minor"/>
    </font>
    <font>
      <sz val="8"/>
      <color theme="1"/>
      <name val="Tahoma"/>
      <family val="2"/>
    </font>
    <font>
      <b/>
      <sz val="9"/>
      <name val="Calibri"/>
      <family val="2"/>
      <scheme val="minor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C00000"/>
      </left>
      <right style="thick">
        <color rgb="FFC00000"/>
      </right>
      <top/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5" fillId="23" borderId="0" applyNumberFormat="0" applyBorder="0" applyAlignment="0" applyProtection="0"/>
  </cellStyleXfs>
  <cellXfs count="451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0" fillId="0" borderId="0" xfId="0" applyNumberForma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vertical="center"/>
      <protection hidden="1"/>
    </xf>
    <xf numFmtId="0" fontId="0" fillId="0" borderId="0" xfId="0" applyProtection="1">
      <protection locked="0"/>
    </xf>
    <xf numFmtId="0" fontId="0" fillId="7" borderId="13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33" xfId="0" applyFill="1" applyBorder="1" applyProtection="1">
      <protection locked="0"/>
    </xf>
    <xf numFmtId="0" fontId="7" fillId="0" borderId="0" xfId="0" applyFont="1" applyAlignment="1" applyProtection="1">
      <alignment horizontal="left" vertical="center"/>
      <protection hidden="1"/>
    </xf>
    <xf numFmtId="0" fontId="0" fillId="0" borderId="4" xfId="0" applyBorder="1" applyProtection="1">
      <protection hidden="1"/>
    </xf>
    <xf numFmtId="0" fontId="7" fillId="0" borderId="8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3" borderId="2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0" fillId="3" borderId="45" xfId="0" applyFill="1" applyBorder="1" applyProtection="1">
      <protection locked="0"/>
    </xf>
    <xf numFmtId="0" fontId="0" fillId="3" borderId="46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9" fillId="0" borderId="49" xfId="0" applyFont="1" applyBorder="1" applyAlignment="1" applyProtection="1">
      <alignment vertical="center"/>
      <protection hidden="1"/>
    </xf>
    <xf numFmtId="0" fontId="9" fillId="0" borderId="37" xfId="0" applyFont="1" applyBorder="1" applyAlignment="1" applyProtection="1">
      <alignment vertical="center"/>
      <protection hidden="1"/>
    </xf>
    <xf numFmtId="0" fontId="0" fillId="0" borderId="0" xfId="0" applyAlignment="1">
      <alignment horizontal="left"/>
    </xf>
    <xf numFmtId="0" fontId="0" fillId="0" borderId="19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5" xfId="0" applyBorder="1" applyProtection="1">
      <protection hidden="1"/>
    </xf>
    <xf numFmtId="0" fontId="18" fillId="0" borderId="7" xfId="0" applyFont="1" applyBorder="1" applyAlignment="1" applyProtection="1">
      <alignment vertical="center"/>
      <protection hidden="1"/>
    </xf>
    <xf numFmtId="0" fontId="18" fillId="0" borderId="9" xfId="0" applyFont="1" applyBorder="1" applyAlignment="1" applyProtection="1">
      <alignment vertical="center"/>
      <protection hidden="1"/>
    </xf>
    <xf numFmtId="0" fontId="18" fillId="0" borderId="22" xfId="0" applyFont="1" applyBorder="1" applyAlignment="1" applyProtection="1">
      <alignment vertical="center"/>
      <protection hidden="1"/>
    </xf>
    <xf numFmtId="0" fontId="18" fillId="0" borderId="5" xfId="0" applyFont="1" applyBorder="1" applyAlignment="1" applyProtection="1">
      <alignment vertical="center"/>
      <protection hidden="1"/>
    </xf>
    <xf numFmtId="0" fontId="0" fillId="3" borderId="2" xfId="0" applyFill="1" applyBorder="1"/>
    <xf numFmtId="0" fontId="0" fillId="3" borderId="0" xfId="0" applyFill="1" applyAlignment="1">
      <alignment horizontal="left"/>
    </xf>
    <xf numFmtId="0" fontId="19" fillId="0" borderId="4" xfId="0" applyFont="1" applyBorder="1" applyAlignment="1" applyProtection="1">
      <alignment vertical="center"/>
      <protection hidden="1"/>
    </xf>
    <xf numFmtId="0" fontId="21" fillId="0" borderId="20" xfId="0" applyFont="1" applyBorder="1" applyAlignment="1" applyProtection="1">
      <alignment vertical="center"/>
      <protection hidden="1"/>
    </xf>
    <xf numFmtId="0" fontId="21" fillId="0" borderId="21" xfId="0" applyFont="1" applyBorder="1" applyAlignment="1" applyProtection="1">
      <alignment vertical="center"/>
      <protection hidden="1"/>
    </xf>
    <xf numFmtId="0" fontId="21" fillId="0" borderId="22" xfId="0" applyFont="1" applyBorder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22" fillId="12" borderId="8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8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2" fillId="15" borderId="22" xfId="0" applyFont="1" applyFill="1" applyBorder="1" applyAlignment="1">
      <alignment horizontal="center" vertical="center" wrapText="1"/>
    </xf>
    <xf numFmtId="0" fontId="22" fillId="14" borderId="8" xfId="0" applyFont="1" applyFill="1" applyBorder="1" applyAlignment="1">
      <alignment horizontal="center" vertical="center" wrapText="1"/>
    </xf>
    <xf numFmtId="0" fontId="22" fillId="14" borderId="7" xfId="0" applyFont="1" applyFill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58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3" borderId="39" xfId="0" applyFill="1" applyBorder="1" applyAlignment="1">
      <alignment horizontal="center" vertical="center" wrapText="1"/>
    </xf>
    <xf numFmtId="0" fontId="0" fillId="3" borderId="56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40" xfId="0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0" fontId="0" fillId="3" borderId="43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8" xfId="0" applyFill="1" applyBorder="1" applyAlignment="1">
      <alignment horizontal="center" vertical="center" wrapText="1"/>
    </xf>
    <xf numFmtId="0" fontId="0" fillId="3" borderId="49" xfId="0" applyFill="1" applyBorder="1" applyAlignment="1">
      <alignment horizontal="center" vertical="center" wrapText="1"/>
    </xf>
    <xf numFmtId="0" fontId="0" fillId="3" borderId="60" xfId="0" applyFill="1" applyBorder="1" applyAlignment="1">
      <alignment horizontal="center" vertical="center" wrapText="1"/>
    </xf>
    <xf numFmtId="0" fontId="0" fillId="3" borderId="58" xfId="0" applyFill="1" applyBorder="1" applyAlignment="1">
      <alignment horizontal="center" vertical="center" wrapText="1"/>
    </xf>
    <xf numFmtId="0" fontId="1" fillId="2" borderId="61" xfId="0" applyFont="1" applyFill="1" applyBorder="1" applyAlignment="1">
      <alignment horizontal="center" vertical="center" wrapText="1"/>
    </xf>
    <xf numFmtId="0" fontId="1" fillId="2" borderId="62" xfId="0" applyFont="1" applyFill="1" applyBorder="1" applyAlignment="1">
      <alignment horizontal="center" vertical="center" wrapText="1"/>
    </xf>
    <xf numFmtId="0" fontId="1" fillId="2" borderId="63" xfId="0" applyFont="1" applyFill="1" applyBorder="1" applyAlignment="1">
      <alignment horizontal="center" vertical="center" wrapText="1"/>
    </xf>
    <xf numFmtId="0" fontId="1" fillId="2" borderId="64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0" fillId="3" borderId="65" xfId="0" applyFill="1" applyBorder="1" applyAlignment="1">
      <alignment horizontal="center" vertical="center" wrapText="1"/>
    </xf>
    <xf numFmtId="0" fontId="1" fillId="2" borderId="66" xfId="0" applyFont="1" applyFill="1" applyBorder="1" applyAlignment="1">
      <alignment horizontal="center" vertical="center" wrapText="1"/>
    </xf>
    <xf numFmtId="0" fontId="0" fillId="3" borderId="66" xfId="0" applyFill="1" applyBorder="1" applyAlignment="1">
      <alignment horizontal="center" vertical="center" wrapText="1"/>
    </xf>
    <xf numFmtId="0" fontId="0" fillId="3" borderId="67" xfId="0" applyFill="1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65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8" fillId="0" borderId="18" xfId="0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8" fillId="0" borderId="4" xfId="0" applyFont="1" applyBorder="1" applyProtection="1">
      <protection hidden="1"/>
    </xf>
    <xf numFmtId="0" fontId="25" fillId="0" borderId="5" xfId="0" applyFont="1" applyBorder="1" applyAlignment="1" applyProtection="1">
      <alignment horizontal="center" vertical="center"/>
      <protection hidden="1"/>
    </xf>
    <xf numFmtId="0" fontId="25" fillId="0" borderId="5" xfId="0" applyFont="1" applyBorder="1" applyAlignment="1" applyProtection="1">
      <alignment vertical="center"/>
      <protection hidden="1"/>
    </xf>
    <xf numFmtId="49" fontId="25" fillId="0" borderId="5" xfId="1" applyNumberFormat="1" applyFont="1" applyBorder="1" applyAlignment="1" applyProtection="1">
      <alignment horizontal="center" vertical="center"/>
      <protection hidden="1"/>
    </xf>
    <xf numFmtId="0" fontId="25" fillId="0" borderId="7" xfId="0" applyFont="1" applyBorder="1" applyAlignment="1" applyProtection="1">
      <alignment horizontal="center" vertical="center"/>
      <protection hidden="1"/>
    </xf>
    <xf numFmtId="0" fontId="26" fillId="0" borderId="9" xfId="0" applyFont="1" applyBorder="1" applyAlignment="1" applyProtection="1">
      <alignment horizontal="center" vertical="center" wrapText="1"/>
      <protection hidden="1"/>
    </xf>
    <xf numFmtId="0" fontId="9" fillId="3" borderId="13" xfId="0" applyFont="1" applyFill="1" applyBorder="1" applyAlignment="1" applyProtection="1">
      <alignment horizontal="center" vertical="center"/>
      <protection hidden="1"/>
    </xf>
    <xf numFmtId="0" fontId="9" fillId="3" borderId="14" xfId="0" applyFont="1" applyFill="1" applyBorder="1" applyAlignment="1" applyProtection="1">
      <alignment horizontal="center" vertical="center"/>
      <protection hidden="1"/>
    </xf>
    <xf numFmtId="0" fontId="9" fillId="3" borderId="23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 hidden="1"/>
    </xf>
    <xf numFmtId="0" fontId="28" fillId="0" borderId="0" xfId="0" applyFont="1" applyAlignment="1" applyProtection="1">
      <alignment horizontal="right" vertical="center"/>
      <protection locked="0" hidden="1"/>
    </xf>
    <xf numFmtId="0" fontId="30" fillId="0" borderId="0" xfId="0" applyFont="1" applyAlignment="1" applyProtection="1">
      <alignment horizontal="right" vertical="center"/>
      <protection locked="0" hidden="1"/>
    </xf>
    <xf numFmtId="0" fontId="30" fillId="0" borderId="2" xfId="0" applyFont="1" applyBorder="1" applyAlignment="1" applyProtection="1">
      <alignment horizontal="right" vertical="center"/>
      <protection locked="0" hidden="1"/>
    </xf>
    <xf numFmtId="0" fontId="28" fillId="0" borderId="3" xfId="0" applyFont="1" applyBorder="1" applyAlignment="1" applyProtection="1">
      <alignment horizontal="right" vertical="center"/>
      <protection locked="0" hidden="1"/>
    </xf>
    <xf numFmtId="0" fontId="0" fillId="0" borderId="26" xfId="0" applyBorder="1" applyProtection="1">
      <protection hidden="1"/>
    </xf>
    <xf numFmtId="0" fontId="0" fillId="0" borderId="9" xfId="0" applyBorder="1" applyProtection="1">
      <protection hidden="1"/>
    </xf>
    <xf numFmtId="0" fontId="28" fillId="0" borderId="26" xfId="0" applyFont="1" applyBorder="1" applyAlignment="1" applyProtection="1">
      <alignment vertical="center"/>
      <protection locked="0" hidden="1"/>
    </xf>
    <xf numFmtId="0" fontId="28" fillId="0" borderId="9" xfId="0" applyFont="1" applyBorder="1" applyAlignment="1" applyProtection="1">
      <alignment vertical="center"/>
      <protection locked="0" hidden="1"/>
    </xf>
    <xf numFmtId="0" fontId="30" fillId="0" borderId="56" xfId="0" applyFont="1" applyBorder="1" applyAlignment="1" applyProtection="1">
      <alignment horizontal="center" vertical="center"/>
      <protection locked="0" hidden="1"/>
    </xf>
    <xf numFmtId="0" fontId="0" fillId="0" borderId="1" xfId="0" applyBorder="1"/>
    <xf numFmtId="0" fontId="0" fillId="0" borderId="26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0" fontId="0" fillId="0" borderId="6" xfId="0" applyBorder="1"/>
    <xf numFmtId="0" fontId="2" fillId="0" borderId="0" xfId="0" applyFont="1" applyAlignment="1" applyProtection="1">
      <alignment horizontal="right"/>
      <protection hidden="1"/>
    </xf>
    <xf numFmtId="0" fontId="0" fillId="3" borderId="68" xfId="0" applyFill="1" applyBorder="1" applyProtection="1">
      <protection locked="0"/>
    </xf>
    <xf numFmtId="0" fontId="19" fillId="0" borderId="2" xfId="0" applyFont="1" applyBorder="1" applyAlignment="1" applyProtection="1">
      <alignment vertical="center"/>
      <protection hidden="1"/>
    </xf>
    <xf numFmtId="0" fontId="7" fillId="0" borderId="9" xfId="0" applyFont="1" applyBorder="1" applyProtection="1">
      <protection hidden="1"/>
    </xf>
    <xf numFmtId="0" fontId="9" fillId="0" borderId="10" xfId="0" applyFont="1" applyBorder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0" fontId="9" fillId="0" borderId="25" xfId="0" applyFont="1" applyBorder="1" applyAlignment="1" applyProtection="1">
      <alignment horizontal="center" vertical="center"/>
      <protection hidden="1"/>
    </xf>
    <xf numFmtId="0" fontId="9" fillId="0" borderId="38" xfId="0" applyFont="1" applyBorder="1" applyAlignment="1" applyProtection="1">
      <alignment vertical="center"/>
      <protection hidden="1"/>
    </xf>
    <xf numFmtId="9" fontId="2" fillId="0" borderId="27" xfId="2" applyFont="1" applyFill="1" applyBorder="1" applyAlignment="1" applyProtection="1">
      <alignment horizontal="center"/>
      <protection locked="0"/>
    </xf>
    <xf numFmtId="9" fontId="2" fillId="0" borderId="30" xfId="2" applyFont="1" applyFill="1" applyBorder="1" applyAlignment="1" applyProtection="1">
      <alignment horizontal="center"/>
      <protection locked="0"/>
    </xf>
    <xf numFmtId="9" fontId="2" fillId="0" borderId="31" xfId="2" applyFont="1" applyFill="1" applyBorder="1" applyAlignment="1" applyProtection="1">
      <alignment horizontal="center"/>
      <protection locked="0"/>
    </xf>
    <xf numFmtId="0" fontId="2" fillId="0" borderId="20" xfId="0" applyFont="1" applyBorder="1" applyProtection="1">
      <protection locked="0"/>
    </xf>
    <xf numFmtId="0" fontId="0" fillId="7" borderId="25" xfId="0" applyFill="1" applyBorder="1" applyProtection="1">
      <protection locked="0"/>
    </xf>
    <xf numFmtId="0" fontId="0" fillId="6" borderId="47" xfId="0" applyFill="1" applyBorder="1" applyAlignment="1" applyProtection="1">
      <alignment horizontal="center" vertical="center"/>
      <protection hidden="1"/>
    </xf>
    <xf numFmtId="0" fontId="0" fillId="6" borderId="11" xfId="0" applyFill="1" applyBorder="1" applyAlignment="1" applyProtection="1">
      <alignment horizontal="center" vertical="center"/>
      <protection hidden="1"/>
    </xf>
    <xf numFmtId="0" fontId="0" fillId="6" borderId="48" xfId="0" applyFill="1" applyBorder="1" applyAlignment="1" applyProtection="1">
      <alignment horizontal="center" vertical="center"/>
      <protection hidden="1"/>
    </xf>
    <xf numFmtId="0" fontId="0" fillId="6" borderId="25" xfId="0" applyFill="1" applyBorder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horizontal="center" vertical="center"/>
      <protection hidden="1"/>
    </xf>
    <xf numFmtId="0" fontId="0" fillId="6" borderId="12" xfId="0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9" borderId="74" xfId="0" applyFill="1" applyBorder="1" applyAlignment="1" applyProtection="1">
      <alignment horizontal="center" vertical="center"/>
      <protection locked="0"/>
    </xf>
    <xf numFmtId="0" fontId="2" fillId="7" borderId="19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 vertical="center"/>
    </xf>
    <xf numFmtId="9" fontId="2" fillId="7" borderId="20" xfId="2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21" xfId="0" applyFont="1" applyFill="1" applyBorder="1"/>
    <xf numFmtId="165" fontId="2" fillId="7" borderId="4" xfId="2" applyNumberFormat="1" applyFont="1" applyFill="1" applyBorder="1" applyAlignment="1" applyProtection="1">
      <alignment horizontal="center" vertical="center"/>
    </xf>
    <xf numFmtId="43" fontId="2" fillId="7" borderId="22" xfId="1" applyFont="1" applyFill="1" applyBorder="1" applyAlignment="1" applyProtection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 vertical="center"/>
    </xf>
    <xf numFmtId="9" fontId="2" fillId="5" borderId="20" xfId="2" applyFont="1" applyFill="1" applyBorder="1" applyAlignment="1" applyProtection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9" fontId="0" fillId="6" borderId="13" xfId="2" applyFont="1" applyFill="1" applyBorder="1" applyAlignment="1" applyProtection="1">
      <alignment horizontal="center" vertical="center"/>
    </xf>
    <xf numFmtId="9" fontId="0" fillId="6" borderId="27" xfId="2" applyFont="1" applyFill="1" applyBorder="1" applyAlignment="1" applyProtection="1">
      <alignment horizontal="center"/>
    </xf>
    <xf numFmtId="9" fontId="0" fillId="6" borderId="14" xfId="2" applyFont="1" applyFill="1" applyBorder="1" applyAlignment="1" applyProtection="1">
      <alignment horizontal="center" vertical="center"/>
    </xf>
    <xf numFmtId="9" fontId="0" fillId="6" borderId="23" xfId="2" applyFont="1" applyFill="1" applyBorder="1" applyAlignment="1" applyProtection="1">
      <alignment horizontal="center" vertical="center"/>
    </xf>
    <xf numFmtId="9" fontId="2" fillId="6" borderId="37" xfId="2" applyFont="1" applyFill="1" applyBorder="1" applyAlignment="1" applyProtection="1">
      <alignment horizontal="center"/>
    </xf>
    <xf numFmtId="9" fontId="2" fillId="6" borderId="13" xfId="2" applyFont="1" applyFill="1" applyBorder="1" applyAlignment="1" applyProtection="1">
      <alignment horizontal="center"/>
    </xf>
    <xf numFmtId="9" fontId="2" fillId="6" borderId="49" xfId="2" applyFont="1" applyFill="1" applyBorder="1" applyAlignment="1" applyProtection="1">
      <alignment horizontal="center"/>
    </xf>
    <xf numFmtId="9" fontId="2" fillId="6" borderId="24" xfId="2" applyFont="1" applyFill="1" applyBorder="1" applyAlignment="1" applyProtection="1">
      <alignment horizontal="center"/>
    </xf>
    <xf numFmtId="9" fontId="2" fillId="6" borderId="38" xfId="2" applyFont="1" applyFill="1" applyBorder="1" applyAlignment="1" applyProtection="1">
      <alignment horizontal="center"/>
    </xf>
    <xf numFmtId="9" fontId="2" fillId="6" borderId="22" xfId="2" applyFont="1" applyFill="1" applyBorder="1" applyAlignment="1" applyProtection="1">
      <alignment horizontal="center"/>
    </xf>
    <xf numFmtId="9" fontId="0" fillId="6" borderId="24" xfId="2" applyFont="1" applyFill="1" applyBorder="1" applyAlignment="1" applyProtection="1">
      <alignment horizontal="center" vertical="center"/>
    </xf>
    <xf numFmtId="9" fontId="0" fillId="22" borderId="3" xfId="2" applyFont="1" applyFill="1" applyBorder="1" applyAlignment="1" applyProtection="1"/>
    <xf numFmtId="9" fontId="0" fillId="22" borderId="20" xfId="2" applyFont="1" applyFill="1" applyBorder="1" applyAlignment="1" applyProtection="1"/>
    <xf numFmtId="9" fontId="0" fillId="22" borderId="21" xfId="2" applyFont="1" applyFill="1" applyBorder="1" applyAlignment="1" applyProtection="1"/>
    <xf numFmtId="9" fontId="0" fillId="6" borderId="33" xfId="2" applyFont="1" applyFill="1" applyBorder="1" applyAlignment="1" applyProtection="1">
      <alignment horizontal="center" vertical="center"/>
    </xf>
    <xf numFmtId="9" fontId="0" fillId="22" borderId="73" xfId="2" applyFont="1" applyFill="1" applyBorder="1" applyAlignment="1" applyProtection="1"/>
    <xf numFmtId="9" fontId="0" fillId="22" borderId="32" xfId="2" applyFont="1" applyFill="1" applyBorder="1" applyAlignment="1" applyProtection="1"/>
    <xf numFmtId="9" fontId="2" fillId="6" borderId="34" xfId="2" applyFont="1" applyFill="1" applyBorder="1" applyAlignment="1" applyProtection="1">
      <alignment horizontal="center"/>
    </xf>
    <xf numFmtId="0" fontId="2" fillId="5" borderId="21" xfId="0" applyFont="1" applyFill="1" applyBorder="1"/>
    <xf numFmtId="9" fontId="2" fillId="5" borderId="4" xfId="2" applyFont="1" applyFill="1" applyBorder="1" applyAlignment="1" applyProtection="1">
      <alignment horizontal="center" vertical="center"/>
    </xf>
    <xf numFmtId="9" fontId="2" fillId="5" borderId="22" xfId="2" applyFont="1" applyFill="1" applyBorder="1" applyAlignment="1" applyProtection="1">
      <alignment horizontal="center" vertical="center"/>
    </xf>
    <xf numFmtId="9" fontId="2" fillId="5" borderId="5" xfId="2" applyFont="1" applyFill="1" applyBorder="1" applyAlignment="1" applyProtection="1">
      <alignment horizontal="center" vertical="center"/>
    </xf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2" fillId="3" borderId="41" xfId="0" applyFont="1" applyFill="1" applyBorder="1"/>
    <xf numFmtId="0" fontId="2" fillId="3" borderId="69" xfId="0" applyFont="1" applyFill="1" applyBorder="1"/>
    <xf numFmtId="0" fontId="2" fillId="3" borderId="43" xfId="0" applyFont="1" applyFill="1" applyBorder="1"/>
    <xf numFmtId="0" fontId="2" fillId="3" borderId="39" xfId="0" applyFont="1" applyFill="1" applyBorder="1"/>
    <xf numFmtId="0" fontId="2" fillId="3" borderId="35" xfId="0" applyFont="1" applyFill="1" applyBorder="1"/>
    <xf numFmtId="0" fontId="0" fillId="3" borderId="51" xfId="0" applyFill="1" applyBorder="1"/>
    <xf numFmtId="0" fontId="0" fillId="3" borderId="70" xfId="0" applyFill="1" applyBorder="1"/>
    <xf numFmtId="0" fontId="0" fillId="3" borderId="71" xfId="0" applyFill="1" applyBorder="1"/>
    <xf numFmtId="10" fontId="0" fillId="20" borderId="13" xfId="2" applyNumberFormat="1" applyFont="1" applyFill="1" applyBorder="1" applyAlignment="1" applyProtection="1">
      <alignment horizontal="center" vertical="center"/>
    </xf>
    <xf numFmtId="10" fontId="0" fillId="20" borderId="14" xfId="2" applyNumberFormat="1" applyFont="1" applyFill="1" applyBorder="1" applyAlignment="1" applyProtection="1">
      <alignment horizontal="center" vertical="center"/>
    </xf>
    <xf numFmtId="10" fontId="0" fillId="20" borderId="23" xfId="2" applyNumberFormat="1" applyFont="1" applyFill="1" applyBorder="1" applyAlignment="1" applyProtection="1">
      <alignment horizontal="center" vertical="center"/>
    </xf>
    <xf numFmtId="10" fontId="0" fillId="0" borderId="13" xfId="2" applyNumberFormat="1" applyFont="1" applyFill="1" applyBorder="1" applyAlignment="1" applyProtection="1">
      <alignment horizontal="center" vertical="center"/>
      <protection locked="0"/>
    </xf>
    <xf numFmtId="10" fontId="0" fillId="0" borderId="2" xfId="2" applyNumberFormat="1" applyFont="1" applyFill="1" applyBorder="1" applyAlignment="1" applyProtection="1">
      <alignment horizontal="center" vertical="center"/>
      <protection locked="0"/>
    </xf>
    <xf numFmtId="10" fontId="0" fillId="0" borderId="25" xfId="2" applyNumberFormat="1" applyFont="1" applyFill="1" applyBorder="1" applyAlignment="1" applyProtection="1">
      <alignment horizontal="center" vertical="center"/>
      <protection locked="0"/>
    </xf>
    <xf numFmtId="10" fontId="0" fillId="0" borderId="10" xfId="2" applyNumberFormat="1" applyFont="1" applyFill="1" applyBorder="1" applyAlignment="1" applyProtection="1">
      <alignment horizontal="center" vertical="center"/>
      <protection locked="0"/>
    </xf>
    <xf numFmtId="10" fontId="0" fillId="0" borderId="11" xfId="2" applyNumberFormat="1" applyFont="1" applyFill="1" applyBorder="1" applyAlignment="1" applyProtection="1">
      <alignment horizontal="center" vertical="center"/>
      <protection locked="0"/>
    </xf>
    <xf numFmtId="10" fontId="0" fillId="0" borderId="47" xfId="2" applyNumberFormat="1" applyFont="1" applyFill="1" applyBorder="1" applyAlignment="1" applyProtection="1">
      <alignment horizontal="center" vertical="center"/>
      <protection locked="0"/>
    </xf>
    <xf numFmtId="9" fontId="0" fillId="0" borderId="0" xfId="2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4" applyFont="1" applyFill="1" applyBorder="1" applyAlignment="1" applyProtection="1">
      <alignment horizontal="center" vertical="center"/>
    </xf>
    <xf numFmtId="14" fontId="0" fillId="0" borderId="0" xfId="4" applyNumberFormat="1" applyFont="1" applyFill="1" applyBorder="1" applyAlignment="1" applyProtection="1">
      <alignment horizontal="center" vertical="center"/>
    </xf>
    <xf numFmtId="0" fontId="0" fillId="0" borderId="0" xfId="6" applyFont="1" applyFill="1" applyBorder="1" applyAlignment="1" applyProtection="1">
      <alignment horizontal="center" vertical="center"/>
    </xf>
    <xf numFmtId="9" fontId="0" fillId="0" borderId="0" xfId="2" applyFont="1" applyFill="1" applyBorder="1" applyAlignment="1" applyProtection="1">
      <alignment horizontal="center" vertical="center"/>
    </xf>
    <xf numFmtId="0" fontId="0" fillId="0" borderId="0" xfId="5" applyFont="1" applyFill="1" applyBorder="1" applyAlignment="1" applyProtection="1">
      <alignment horizontal="center" vertical="center"/>
    </xf>
    <xf numFmtId="165" fontId="0" fillId="21" borderId="20" xfId="2" applyNumberFormat="1" applyFont="1" applyFill="1" applyBorder="1" applyAlignment="1" applyProtection="1"/>
    <xf numFmtId="165" fontId="0" fillId="21" borderId="21" xfId="2" applyNumberFormat="1" applyFont="1" applyFill="1" applyBorder="1" applyAlignment="1" applyProtection="1"/>
    <xf numFmtId="165" fontId="0" fillId="21" borderId="22" xfId="2" applyNumberFormat="1" applyFont="1" applyFill="1" applyBorder="1" applyAlignment="1" applyProtection="1"/>
    <xf numFmtId="0" fontId="2" fillId="23" borderId="8" xfId="7" applyFont="1" applyBorder="1" applyAlignment="1">
      <alignment horizontal="center" vertical="center"/>
    </xf>
    <xf numFmtId="0" fontId="2" fillId="23" borderId="7" xfId="7" applyFont="1" applyBorder="1" applyAlignment="1">
      <alignment horizontal="center" vertical="center"/>
    </xf>
    <xf numFmtId="0" fontId="2" fillId="23" borderId="26" xfId="7" applyFont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0" fontId="2" fillId="20" borderId="24" xfId="2" applyNumberFormat="1" applyFont="1" applyFill="1" applyBorder="1" applyAlignment="1" applyProtection="1">
      <alignment horizontal="center"/>
    </xf>
    <xf numFmtId="10" fontId="2" fillId="20" borderId="22" xfId="2" applyNumberFormat="1" applyFont="1" applyFill="1" applyBorder="1" applyAlignment="1" applyProtection="1">
      <alignment horizontal="center"/>
    </xf>
    <xf numFmtId="10" fontId="2" fillId="20" borderId="34" xfId="2" applyNumberFormat="1" applyFont="1" applyFill="1" applyBorder="1" applyAlignment="1" applyProtection="1">
      <alignment horizontal="center"/>
    </xf>
    <xf numFmtId="10" fontId="2" fillId="20" borderId="28" xfId="2" applyNumberFormat="1" applyFont="1" applyFill="1" applyBorder="1" applyAlignment="1" applyProtection="1">
      <alignment horizontal="center"/>
    </xf>
    <xf numFmtId="10" fontId="2" fillId="20" borderId="49" xfId="2" applyNumberFormat="1" applyFont="1" applyFill="1" applyBorder="1" applyAlignment="1" applyProtection="1">
      <alignment horizontal="center"/>
    </xf>
    <xf numFmtId="10" fontId="2" fillId="20" borderId="38" xfId="2" applyNumberFormat="1" applyFont="1" applyFill="1" applyBorder="1" applyAlignment="1" applyProtection="1">
      <alignment horizontal="center"/>
    </xf>
    <xf numFmtId="2" fontId="0" fillId="20" borderId="37" xfId="0" applyNumberFormat="1" applyFill="1" applyBorder="1" applyAlignment="1">
      <alignment horizontal="center" vertical="center"/>
    </xf>
    <xf numFmtId="2" fontId="0" fillId="20" borderId="49" xfId="0" applyNumberFormat="1" applyFill="1" applyBorder="1" applyAlignment="1">
      <alignment horizontal="center" vertical="center"/>
    </xf>
    <xf numFmtId="2" fontId="0" fillId="20" borderId="38" xfId="0" applyNumberFormat="1" applyFill="1" applyBorder="1" applyAlignment="1">
      <alignment horizontal="center" vertical="center"/>
    </xf>
    <xf numFmtId="2" fontId="0" fillId="20" borderId="13" xfId="0" applyNumberFormat="1" applyFill="1" applyBorder="1" applyAlignment="1">
      <alignment horizontal="center" vertical="center"/>
    </xf>
    <xf numFmtId="2" fontId="0" fillId="20" borderId="14" xfId="0" applyNumberFormat="1" applyFill="1" applyBorder="1" applyAlignment="1">
      <alignment horizontal="center" vertical="center"/>
    </xf>
    <xf numFmtId="2" fontId="0" fillId="20" borderId="23" xfId="0" applyNumberFormat="1" applyFill="1" applyBorder="1" applyAlignment="1">
      <alignment horizontal="center" vertical="center"/>
    </xf>
    <xf numFmtId="2" fontId="0" fillId="20" borderId="24" xfId="0" applyNumberFormat="1" applyFill="1" applyBorder="1" applyAlignment="1">
      <alignment horizontal="center" vertical="center"/>
    </xf>
    <xf numFmtId="164" fontId="2" fillId="7" borderId="22" xfId="2" applyNumberFormat="1" applyFont="1" applyFill="1" applyBorder="1" applyAlignment="1" applyProtection="1">
      <alignment horizontal="center" vertical="center"/>
    </xf>
    <xf numFmtId="164" fontId="2" fillId="7" borderId="5" xfId="2" applyNumberFormat="1" applyFont="1" applyFill="1" applyBorder="1" applyAlignment="1" applyProtection="1">
      <alignment horizontal="center" vertical="center"/>
    </xf>
    <xf numFmtId="0" fontId="4" fillId="4" borderId="57" xfId="0" applyFont="1" applyFill="1" applyBorder="1" applyAlignment="1">
      <alignment horizontal="center" vertical="center" wrapText="1"/>
    </xf>
    <xf numFmtId="0" fontId="1" fillId="2" borderId="73" xfId="0" applyFont="1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3" borderId="76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2" borderId="77" xfId="0" applyFont="1" applyFill="1" applyBorder="1" applyAlignment="1">
      <alignment horizontal="center" vertical="center" wrapText="1"/>
    </xf>
    <xf numFmtId="14" fontId="0" fillId="3" borderId="40" xfId="0" applyNumberFormat="1" applyFill="1" applyBorder="1" applyProtection="1">
      <protection locked="0"/>
    </xf>
    <xf numFmtId="0" fontId="33" fillId="0" borderId="19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top" wrapText="1"/>
    </xf>
    <xf numFmtId="0" fontId="34" fillId="0" borderId="52" xfId="0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/>
    </xf>
    <xf numFmtId="14" fontId="0" fillId="0" borderId="0" xfId="3" applyNumberFormat="1" applyFont="1" applyFill="1" applyBorder="1" applyAlignment="1" applyProtection="1">
      <alignment horizontal="center" vertical="center"/>
    </xf>
    <xf numFmtId="0" fontId="0" fillId="0" borderId="0" xfId="3" applyFont="1" applyFill="1" applyBorder="1" applyAlignment="1" applyProtection="1">
      <alignment horizontal="center" vertical="center"/>
    </xf>
    <xf numFmtId="0" fontId="2" fillId="0" borderId="0" xfId="4" applyFont="1" applyFill="1" applyBorder="1" applyAlignment="1" applyProtection="1">
      <alignment horizontal="center" vertical="center"/>
    </xf>
    <xf numFmtId="0" fontId="2" fillId="0" borderId="1" xfId="4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4" fontId="0" fillId="0" borderId="1" xfId="3" applyNumberFormat="1" applyFont="1" applyFill="1" applyBorder="1" applyAlignment="1" applyProtection="1">
      <alignment horizontal="center" vertical="center"/>
    </xf>
    <xf numFmtId="0" fontId="0" fillId="0" borderId="1" xfId="3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13" borderId="7" xfId="0" applyFont="1" applyFill="1" applyBorder="1" applyAlignment="1" applyProtection="1">
      <alignment horizontal="center"/>
      <protection locked="0"/>
    </xf>
    <xf numFmtId="14" fontId="2" fillId="7" borderId="22" xfId="0" applyNumberFormat="1" applyFont="1" applyFill="1" applyBorder="1" applyAlignment="1" applyProtection="1">
      <alignment horizontal="center"/>
      <protection locked="0"/>
    </xf>
    <xf numFmtId="0" fontId="2" fillId="7" borderId="2" xfId="0" applyFont="1" applyFill="1" applyBorder="1" applyAlignment="1">
      <alignment horizontal="center" vertical="center"/>
    </xf>
    <xf numFmtId="0" fontId="2" fillId="8" borderId="79" xfId="0" applyFont="1" applyFill="1" applyBorder="1" applyAlignment="1">
      <alignment horizontal="center" vertical="center"/>
    </xf>
    <xf numFmtId="14" fontId="0" fillId="5" borderId="5" xfId="0" applyNumberFormat="1" applyFill="1" applyBorder="1" applyAlignment="1">
      <alignment horizontal="center"/>
    </xf>
    <xf numFmtId="0" fontId="17" fillId="0" borderId="0" xfId="0" applyFont="1" applyAlignment="1">
      <alignment horizontal="left" vertical="top" wrapText="1"/>
    </xf>
    <xf numFmtId="0" fontId="36" fillId="0" borderId="0" xfId="0" applyFont="1" applyAlignment="1">
      <alignment vertical="center"/>
    </xf>
    <xf numFmtId="0" fontId="36" fillId="0" borderId="0" xfId="0" applyFont="1"/>
    <xf numFmtId="0" fontId="17" fillId="0" borderId="0" xfId="0" applyFont="1" applyAlignment="1">
      <alignment horizontal="center" vertical="center"/>
    </xf>
    <xf numFmtId="0" fontId="0" fillId="15" borderId="53" xfId="0" applyFill="1" applyBorder="1" applyAlignment="1">
      <alignment horizontal="center" vertical="center" wrapText="1"/>
    </xf>
    <xf numFmtId="0" fontId="0" fillId="12" borderId="54" xfId="0" applyFill="1" applyBorder="1" applyAlignment="1">
      <alignment horizontal="center" vertical="center" wrapText="1"/>
    </xf>
    <xf numFmtId="0" fontId="0" fillId="14" borderId="54" xfId="0" applyFill="1" applyBorder="1" applyAlignment="1">
      <alignment horizontal="center" vertical="center" wrapText="1"/>
    </xf>
    <xf numFmtId="0" fontId="0" fillId="13" borderId="54" xfId="0" applyFill="1" applyBorder="1" applyAlignment="1">
      <alignment horizontal="center" vertical="center" wrapText="1"/>
    </xf>
    <xf numFmtId="0" fontId="17" fillId="0" borderId="80" xfId="0" applyFont="1" applyBorder="1" applyAlignment="1">
      <alignment horizontal="left" vertical="top" wrapText="1"/>
    </xf>
    <xf numFmtId="0" fontId="17" fillId="0" borderId="80" xfId="0" applyFont="1" applyBorder="1" applyAlignment="1">
      <alignment horizontal="center" vertical="center" wrapText="1"/>
    </xf>
    <xf numFmtId="0" fontId="17" fillId="0" borderId="80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17" fillId="0" borderId="82" xfId="0" applyFont="1" applyBorder="1" applyAlignment="1">
      <alignment horizontal="left" vertical="top" wrapText="1"/>
    </xf>
    <xf numFmtId="0" fontId="17" fillId="0" borderId="82" xfId="0" applyFont="1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7" fillId="0" borderId="84" xfId="0" applyFont="1" applyBorder="1" applyAlignment="1">
      <alignment horizontal="left" vertical="top" wrapText="1"/>
    </xf>
    <xf numFmtId="0" fontId="17" fillId="0" borderId="85" xfId="0" applyFont="1" applyBorder="1" applyAlignment="1">
      <alignment horizontal="left" vertical="top" wrapText="1"/>
    </xf>
    <xf numFmtId="0" fontId="37" fillId="0" borderId="86" xfId="0" applyFont="1" applyBorder="1" applyAlignment="1">
      <alignment horizontal="center" vertical="center" wrapText="1"/>
    </xf>
    <xf numFmtId="0" fontId="37" fillId="0" borderId="87" xfId="0" applyFont="1" applyBorder="1" applyAlignment="1">
      <alignment horizontal="center" vertical="center" wrapText="1"/>
    </xf>
    <xf numFmtId="0" fontId="37" fillId="0" borderId="78" xfId="0" applyFont="1" applyBorder="1" applyAlignment="1">
      <alignment horizontal="center" vertical="center" wrapText="1"/>
    </xf>
    <xf numFmtId="0" fontId="37" fillId="0" borderId="78" xfId="0" applyFont="1" applyBorder="1" applyAlignment="1">
      <alignment horizontal="center" vertical="center"/>
    </xf>
    <xf numFmtId="14" fontId="1" fillId="2" borderId="60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0" fontId="38" fillId="0" borderId="58" xfId="0" applyFont="1" applyBorder="1" applyAlignment="1">
      <alignment horizontal="center" vertical="center" wrapText="1"/>
    </xf>
    <xf numFmtId="0" fontId="38" fillId="0" borderId="56" xfId="0" applyFont="1" applyBorder="1" applyAlignment="1">
      <alignment horizontal="center" vertical="center" wrapText="1"/>
    </xf>
    <xf numFmtId="0" fontId="0" fillId="12" borderId="54" xfId="0" applyFill="1" applyBorder="1" applyAlignment="1">
      <alignment vertical="center" wrapText="1"/>
    </xf>
    <xf numFmtId="0" fontId="0" fillId="13" borderId="54" xfId="0" applyFill="1" applyBorder="1" applyAlignment="1">
      <alignment vertical="center" wrapText="1"/>
    </xf>
    <xf numFmtId="0" fontId="0" fillId="14" borderId="54" xfId="0" applyFill="1" applyBorder="1" applyAlignment="1">
      <alignment vertical="center" wrapText="1"/>
    </xf>
    <xf numFmtId="0" fontId="0" fillId="15" borderId="53" xfId="0" applyFill="1" applyBorder="1" applyAlignment="1">
      <alignment vertical="center" wrapText="1"/>
    </xf>
    <xf numFmtId="0" fontId="0" fillId="24" borderId="1" xfId="0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6" borderId="48" xfId="0" applyFill="1" applyBorder="1" applyAlignment="1" applyProtection="1">
      <alignment horizontal="center" vertical="center" wrapText="1"/>
      <protection hidden="1"/>
    </xf>
    <xf numFmtId="0" fontId="0" fillId="7" borderId="10" xfId="0" applyFill="1" applyBorder="1" applyAlignment="1" applyProtection="1">
      <alignment wrapText="1"/>
      <protection locked="0"/>
    </xf>
    <xf numFmtId="0" fontId="0" fillId="7" borderId="11" xfId="0" applyFill="1" applyBorder="1" applyAlignment="1" applyProtection="1">
      <alignment wrapText="1"/>
      <protection locked="0"/>
    </xf>
    <xf numFmtId="0" fontId="0" fillId="6" borderId="11" xfId="0" applyFill="1" applyBorder="1" applyAlignment="1" applyProtection="1">
      <alignment horizontal="center" vertical="center" wrapText="1"/>
      <protection hidden="1"/>
    </xf>
    <xf numFmtId="0" fontId="0" fillId="0" borderId="0" xfId="6" applyFont="1" applyFill="1" applyBorder="1" applyAlignment="1" applyProtection="1">
      <alignment horizontal="center" vertical="center" wrapText="1"/>
    </xf>
    <xf numFmtId="0" fontId="36" fillId="0" borderId="81" xfId="0" applyFont="1" applyBorder="1" applyAlignment="1">
      <alignment horizontal="center" vertical="center"/>
    </xf>
    <xf numFmtId="0" fontId="36" fillId="0" borderId="8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 wrapText="1"/>
    </xf>
    <xf numFmtId="0" fontId="1" fillId="2" borderId="88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38" fillId="0" borderId="65" xfId="0" applyFont="1" applyBorder="1" applyAlignment="1">
      <alignment horizontal="center" vertical="center" wrapText="1"/>
    </xf>
    <xf numFmtId="0" fontId="38" fillId="3" borderId="28" xfId="0" applyFont="1" applyFill="1" applyBorder="1" applyAlignment="1">
      <alignment horizontal="center" vertical="center" wrapText="1"/>
    </xf>
    <xf numFmtId="0" fontId="38" fillId="3" borderId="49" xfId="0" applyFont="1" applyFill="1" applyBorder="1" applyAlignment="1">
      <alignment horizontal="center" vertical="center" wrapText="1"/>
    </xf>
    <xf numFmtId="0" fontId="38" fillId="3" borderId="40" xfId="0" applyFont="1" applyFill="1" applyBorder="1" applyAlignment="1">
      <alignment horizontal="center" vertical="center" wrapText="1"/>
    </xf>
    <xf numFmtId="0" fontId="38" fillId="3" borderId="67" xfId="0" applyFont="1" applyFill="1" applyBorder="1" applyAlignment="1">
      <alignment horizontal="center" vertical="center" wrapText="1"/>
    </xf>
    <xf numFmtId="0" fontId="35" fillId="3" borderId="48" xfId="0" applyFont="1" applyFill="1" applyBorder="1" applyAlignment="1" applyProtection="1">
      <alignment horizontal="center" vertical="center"/>
      <protection locked="0"/>
    </xf>
    <xf numFmtId="0" fontId="35" fillId="3" borderId="78" xfId="0" applyFont="1" applyFill="1" applyBorder="1" applyAlignment="1" applyProtection="1">
      <alignment horizontal="center" vertical="center"/>
      <protection locked="0"/>
    </xf>
    <xf numFmtId="0" fontId="35" fillId="3" borderId="28" xfId="0" applyFont="1" applyFill="1" applyBorder="1" applyAlignment="1" applyProtection="1">
      <alignment horizontal="center" vertical="center"/>
      <protection locked="0"/>
    </xf>
    <xf numFmtId="0" fontId="35" fillId="0" borderId="50" xfId="0" applyFont="1" applyBorder="1" applyAlignment="1" applyProtection="1">
      <alignment horizontal="center" vertical="center"/>
      <protection locked="0"/>
    </xf>
    <xf numFmtId="0" fontId="35" fillId="0" borderId="78" xfId="0" applyFont="1" applyBorder="1" applyAlignment="1" applyProtection="1">
      <alignment horizontal="center" vertical="center"/>
      <protection locked="0"/>
    </xf>
    <xf numFmtId="0" fontId="35" fillId="0" borderId="58" xfId="0" applyFont="1" applyBorder="1" applyAlignment="1" applyProtection="1">
      <alignment horizontal="center" vertical="center"/>
      <protection locked="0"/>
    </xf>
    <xf numFmtId="0" fontId="2" fillId="5" borderId="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0" fillId="3" borderId="17" xfId="0" applyFill="1" applyBorder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9" fontId="0" fillId="21" borderId="19" xfId="2" applyFont="1" applyFill="1" applyBorder="1" applyAlignment="1" applyProtection="1">
      <alignment horizontal="center"/>
    </xf>
    <xf numFmtId="9" fontId="0" fillId="21" borderId="17" xfId="2" applyFont="1" applyFill="1" applyBorder="1" applyAlignment="1" applyProtection="1">
      <alignment horizontal="center"/>
    </xf>
    <xf numFmtId="9" fontId="0" fillId="21" borderId="2" xfId="2" applyFont="1" applyFill="1" applyBorder="1" applyAlignment="1" applyProtection="1">
      <alignment horizontal="center"/>
    </xf>
    <xf numFmtId="9" fontId="0" fillId="21" borderId="3" xfId="2" applyFont="1" applyFill="1" applyBorder="1" applyAlignment="1" applyProtection="1">
      <alignment horizontal="center"/>
    </xf>
    <xf numFmtId="9" fontId="0" fillId="21" borderId="4" xfId="2" applyFont="1" applyFill="1" applyBorder="1" applyAlignment="1" applyProtection="1">
      <alignment horizontal="center"/>
    </xf>
    <xf numFmtId="9" fontId="0" fillId="21" borderId="5" xfId="2" applyFont="1" applyFill="1" applyBorder="1" applyAlignment="1" applyProtection="1">
      <alignment horizontal="center"/>
    </xf>
    <xf numFmtId="165" fontId="0" fillId="21" borderId="2" xfId="2" applyNumberFormat="1" applyFont="1" applyFill="1" applyBorder="1" applyAlignment="1" applyProtection="1">
      <alignment horizontal="center"/>
    </xf>
    <xf numFmtId="165" fontId="0" fillId="21" borderId="3" xfId="2" applyNumberFormat="1" applyFont="1" applyFill="1" applyBorder="1" applyAlignment="1" applyProtection="1">
      <alignment horizontal="center"/>
    </xf>
    <xf numFmtId="165" fontId="0" fillId="21" borderId="72" xfId="2" applyNumberFormat="1" applyFont="1" applyFill="1" applyBorder="1" applyAlignment="1" applyProtection="1">
      <alignment horizontal="center"/>
    </xf>
    <xf numFmtId="165" fontId="0" fillId="21" borderId="73" xfId="2" applyNumberFormat="1" applyFont="1" applyFill="1" applyBorder="1" applyAlignment="1" applyProtection="1">
      <alignment horizontal="center"/>
    </xf>
    <xf numFmtId="9" fontId="0" fillId="22" borderId="19" xfId="2" applyFont="1" applyFill="1" applyBorder="1" applyAlignment="1" applyProtection="1">
      <alignment horizontal="center"/>
    </xf>
    <xf numFmtId="9" fontId="0" fillId="22" borderId="17" xfId="2" applyFont="1" applyFill="1" applyBorder="1" applyAlignment="1" applyProtection="1">
      <alignment horizontal="center"/>
    </xf>
    <xf numFmtId="9" fontId="0" fillId="22" borderId="2" xfId="2" applyFont="1" applyFill="1" applyBorder="1" applyAlignment="1" applyProtection="1">
      <alignment horizontal="center"/>
    </xf>
    <xf numFmtId="9" fontId="0" fillId="22" borderId="3" xfId="2" applyFont="1" applyFill="1" applyBorder="1" applyAlignment="1" applyProtection="1">
      <alignment horizontal="center"/>
    </xf>
    <xf numFmtId="9" fontId="0" fillId="22" borderId="4" xfId="2" applyFont="1" applyFill="1" applyBorder="1" applyAlignment="1" applyProtection="1">
      <alignment horizontal="center"/>
    </xf>
    <xf numFmtId="9" fontId="0" fillId="22" borderId="5" xfId="2" applyFont="1" applyFill="1" applyBorder="1" applyAlignment="1" applyProtection="1">
      <alignment horizont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9" fontId="0" fillId="22" borderId="20" xfId="2" applyFont="1" applyFill="1" applyBorder="1" applyAlignment="1" applyProtection="1">
      <alignment horizontal="center"/>
    </xf>
    <xf numFmtId="9" fontId="0" fillId="22" borderId="21" xfId="2" applyFont="1" applyFill="1" applyBorder="1" applyAlignment="1" applyProtection="1">
      <alignment horizontal="center"/>
    </xf>
    <xf numFmtId="9" fontId="0" fillId="22" borderId="22" xfId="2" applyFont="1" applyFill="1" applyBorder="1" applyAlignment="1" applyProtection="1">
      <alignment horizontal="center"/>
    </xf>
    <xf numFmtId="0" fontId="12" fillId="11" borderId="10" xfId="0" applyFont="1" applyFill="1" applyBorder="1" applyAlignment="1" applyProtection="1">
      <alignment horizontal="center" vertical="center"/>
      <protection hidden="1"/>
    </xf>
    <xf numFmtId="0" fontId="12" fillId="11" borderId="27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5" fillId="0" borderId="19" xfId="0" applyFont="1" applyBorder="1" applyAlignment="1" applyProtection="1">
      <alignment horizontal="center" vertical="center"/>
      <protection hidden="1"/>
    </xf>
    <xf numFmtId="0" fontId="25" fillId="0" borderId="17" xfId="0" applyFont="1" applyBorder="1" applyAlignment="1" applyProtection="1">
      <alignment horizontal="center" vertical="center"/>
      <protection hidden="1"/>
    </xf>
    <xf numFmtId="0" fontId="25" fillId="0" borderId="8" xfId="0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 vertical="center"/>
      <protection hidden="1"/>
    </xf>
    <xf numFmtId="0" fontId="14" fillId="0" borderId="26" xfId="0" applyFont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20" fillId="0" borderId="19" xfId="0" applyFont="1" applyBorder="1" applyAlignment="1" applyProtection="1">
      <alignment horizontal="center" vertical="center" wrapText="1"/>
      <protection hidden="1"/>
    </xf>
    <xf numFmtId="0" fontId="20" fillId="0" borderId="17" xfId="0" applyFont="1" applyBorder="1" applyAlignment="1" applyProtection="1">
      <alignment horizontal="center" vertical="center" wrapText="1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20" fillId="0" borderId="5" xfId="0" applyFont="1" applyBorder="1" applyAlignment="1" applyProtection="1">
      <alignment horizontal="center" vertical="center" wrapText="1"/>
      <protection hidden="1"/>
    </xf>
    <xf numFmtId="0" fontId="20" fillId="0" borderId="20" xfId="0" applyFont="1" applyBorder="1" applyAlignment="1" applyProtection="1">
      <alignment horizontal="center" vertical="center" wrapText="1"/>
      <protection hidden="1"/>
    </xf>
    <xf numFmtId="0" fontId="20" fillId="0" borderId="22" xfId="0" applyFont="1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20" fillId="0" borderId="21" xfId="0" applyFont="1" applyBorder="1" applyAlignment="1" applyProtection="1">
      <alignment horizontal="center" vertical="center" wrapText="1"/>
      <protection hidden="1"/>
    </xf>
    <xf numFmtId="0" fontId="20" fillId="0" borderId="20" xfId="0" applyFont="1" applyBorder="1" applyAlignment="1" applyProtection="1">
      <alignment horizontal="center" vertical="center"/>
      <protection hidden="1"/>
    </xf>
    <xf numFmtId="0" fontId="20" fillId="0" borderId="22" xfId="0" applyFont="1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55" xfId="0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5" fillId="0" borderId="16" xfId="0" applyFont="1" applyBorder="1" applyAlignment="1" applyProtection="1">
      <alignment horizontal="center" vertical="center"/>
      <protection hidden="1"/>
    </xf>
    <xf numFmtId="0" fontId="15" fillId="0" borderId="17" xfId="0" applyFont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0" fontId="15" fillId="0" borderId="4" xfId="0" applyFont="1" applyBorder="1" applyAlignment="1" applyProtection="1">
      <alignment horizontal="center" vertical="center"/>
      <protection hidden="1"/>
    </xf>
    <xf numFmtId="0" fontId="15" fillId="0" borderId="18" xfId="0" applyFont="1" applyBorder="1" applyAlignment="1" applyProtection="1">
      <alignment horizontal="center" vertical="center"/>
      <protection hidden="1"/>
    </xf>
    <xf numFmtId="0" fontId="15" fillId="0" borderId="5" xfId="0" applyFont="1" applyBorder="1" applyAlignment="1" applyProtection="1">
      <alignment horizontal="center" vertical="center"/>
      <protection hidden="1"/>
    </xf>
    <xf numFmtId="0" fontId="28" fillId="0" borderId="19" xfId="0" applyFont="1" applyBorder="1" applyAlignment="1" applyProtection="1">
      <alignment horizontal="center" vertical="center"/>
      <protection locked="0" hidden="1"/>
    </xf>
    <xf numFmtId="0" fontId="28" fillId="0" borderId="16" xfId="0" applyFont="1" applyBorder="1" applyAlignment="1" applyProtection="1">
      <alignment horizontal="center" vertical="center"/>
      <protection locked="0" hidden="1"/>
    </xf>
    <xf numFmtId="0" fontId="28" fillId="0" borderId="17" xfId="0" applyFont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28" fillId="0" borderId="3" xfId="0" applyFont="1" applyBorder="1" applyAlignment="1" applyProtection="1">
      <alignment horizontal="center" vertical="center"/>
      <protection locked="0" hidden="1"/>
    </xf>
    <xf numFmtId="0" fontId="28" fillId="0" borderId="4" xfId="0" applyFont="1" applyBorder="1" applyAlignment="1" applyProtection="1">
      <alignment horizontal="center" vertical="center"/>
      <protection locked="0" hidden="1"/>
    </xf>
    <xf numFmtId="0" fontId="28" fillId="0" borderId="18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0" fontId="18" fillId="0" borderId="26" xfId="0" applyFont="1" applyBorder="1" applyAlignment="1" applyProtection="1">
      <alignment horizontal="center"/>
      <protection hidden="1"/>
    </xf>
    <xf numFmtId="0" fontId="18" fillId="0" borderId="9" xfId="0" applyFont="1" applyBorder="1" applyAlignment="1" applyProtection="1">
      <alignment horizontal="center"/>
      <protection hidden="1"/>
    </xf>
    <xf numFmtId="0" fontId="18" fillId="0" borderId="8" xfId="0" applyFont="1" applyBorder="1" applyAlignment="1" applyProtection="1">
      <alignment horizontal="center"/>
      <protection hidden="1"/>
    </xf>
    <xf numFmtId="0" fontId="10" fillId="0" borderId="8" xfId="0" applyFont="1" applyBorder="1" applyAlignment="1" applyProtection="1">
      <alignment horizontal="left" vertical="center"/>
      <protection hidden="1"/>
    </xf>
    <xf numFmtId="0" fontId="10" fillId="0" borderId="26" xfId="0" applyFont="1" applyBorder="1" applyAlignment="1" applyProtection="1">
      <alignment horizontal="left" vertical="center"/>
      <protection hidden="1"/>
    </xf>
    <xf numFmtId="0" fontId="30" fillId="0" borderId="2" xfId="0" applyFont="1" applyBorder="1" applyAlignment="1" applyProtection="1">
      <alignment horizontal="right" vertical="center"/>
      <protection locked="0" hidden="1"/>
    </xf>
    <xf numFmtId="0" fontId="30" fillId="0" borderId="0" xfId="0" applyFont="1" applyAlignment="1" applyProtection="1">
      <alignment horizontal="right" vertical="center"/>
      <protection locked="0" hidden="1"/>
    </xf>
    <xf numFmtId="0" fontId="29" fillId="0" borderId="8" xfId="0" applyFont="1" applyBorder="1" applyAlignment="1" applyProtection="1">
      <alignment horizontal="left" vertical="center"/>
      <protection locked="0" hidden="1"/>
    </xf>
    <xf numFmtId="0" fontId="29" fillId="0" borderId="26" xfId="0" applyFont="1" applyBorder="1" applyAlignment="1" applyProtection="1">
      <alignment horizontal="left" vertical="center"/>
      <protection locked="0" hidden="1"/>
    </xf>
    <xf numFmtId="0" fontId="18" fillId="0" borderId="4" xfId="0" applyFont="1" applyBorder="1" applyAlignment="1" applyProtection="1">
      <alignment horizontal="center"/>
      <protection hidden="1"/>
    </xf>
    <xf numFmtId="0" fontId="18" fillId="0" borderId="5" xfId="0" applyFont="1" applyBorder="1" applyAlignment="1" applyProtection="1">
      <alignment horizontal="center"/>
      <protection hidden="1"/>
    </xf>
    <xf numFmtId="0" fontId="4" fillId="4" borderId="41" xfId="0" applyFont="1" applyFill="1" applyBorder="1" applyAlignment="1">
      <alignment horizontal="center" vertical="center" wrapText="1"/>
    </xf>
    <xf numFmtId="0" fontId="4" fillId="4" borderId="75" xfId="0" applyFont="1" applyFill="1" applyBorder="1" applyAlignment="1">
      <alignment horizontal="center" vertical="center" wrapText="1"/>
    </xf>
    <xf numFmtId="0" fontId="4" fillId="4" borderId="57" xfId="0" applyFont="1" applyFill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37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/>
    </xf>
    <xf numFmtId="0" fontId="6" fillId="10" borderId="26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</cellXfs>
  <cellStyles count="8">
    <cellStyle name="40% - Accent1" xfId="7" builtinId="31"/>
    <cellStyle name="Accent3" xfId="4" builtinId="37"/>
    <cellStyle name="Accent4" xfId="5" builtinId="41"/>
    <cellStyle name="Accent6" xfId="6" builtinId="49"/>
    <cellStyle name="Comma" xfId="1" builtinId="3"/>
    <cellStyle name="Neutral" xfId="3" builtinId="28"/>
    <cellStyle name="Normal" xfId="0" builtinId="0"/>
    <cellStyle name="Percent" xfId="2" builtinId="5"/>
  </cellStyles>
  <dxfs count="13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70C0"/>
      </font>
      <numFmt numFmtId="0" formatCode="General"/>
      <fill>
        <patternFill>
          <bgColor theme="8" tint="0.79998168889431442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  <bottom style="medium">
          <color rgb="FF000000"/>
        </bottom>
      </border>
    </dxf>
    <dxf>
      <border outline="0">
        <bottom style="double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auto="1"/>
        </patternFill>
      </fill>
      <protection locked="0" hidden="0"/>
    </dxf>
    <dxf>
      <font>
        <b/>
      </font>
      <fill>
        <patternFill patternType="none">
          <fgColor indexed="64"/>
          <bgColor auto="1"/>
        </patternFill>
      </fill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protection locked="0" hidden="0"/>
    </dxf>
    <dxf>
      <numFmt numFmtId="14" formatCode="0.00%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protection locked="1" hidden="0"/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hair">
          <color rgb="FF000000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ahom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alignment horizontal="center" vertical="center" textRotation="0" wrapText="0" indent="0" justifyLastLine="0" shrinkToFit="0" readingOrder="0"/>
      <border diagonalUp="0" diagonalDown="0">
        <right style="thin">
          <color indexed="64"/>
        </right>
        <vertical/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FF5050"/>
      <color rgb="FFCC99FF"/>
      <color rgb="FF9933FF"/>
      <color rgb="FFCC66FF"/>
      <color rgb="FFCC0099"/>
      <color rgb="FF009999"/>
      <color rgb="FFFFCCFF"/>
      <color rgb="FFFF00FF"/>
      <color rgb="FFE47E5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pixabay.com/es/disquete-guardar-exportaci%C3%B3n-flecha-27224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pixabay.com/en/wipe-clean-besom-broom-brush-icon-97583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294336</xdr:colOff>
      <xdr:row>14</xdr:row>
      <xdr:rowOff>12730</xdr:rowOff>
    </xdr:from>
    <xdr:to>
      <xdr:col>0</xdr:col>
      <xdr:colOff>765041</xdr:colOff>
      <xdr:row>16</xdr:row>
      <xdr:rowOff>107173</xdr:rowOff>
    </xdr:to>
    <xdr:pic macro="[0]!CopyData">
      <xdr:nvPicPr>
        <xdr:cNvPr id="8" name="Picture 7">
          <a:extLst>
            <a:ext uri="{FF2B5EF4-FFF2-40B4-BE49-F238E27FC236}">
              <a16:creationId xmlns:a16="http://schemas.microsoft.com/office/drawing/2014/main" id="{0C31E129-B0FC-105C-9AC8-A7EBE15F4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94336" y="3917980"/>
          <a:ext cx="470705" cy="4444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1273358</xdr:colOff>
      <xdr:row>14</xdr:row>
      <xdr:rowOff>47898</xdr:rowOff>
    </xdr:from>
    <xdr:to>
      <xdr:col>0</xdr:col>
      <xdr:colOff>1709568</xdr:colOff>
      <xdr:row>16</xdr:row>
      <xdr:rowOff>144780</xdr:rowOff>
    </xdr:to>
    <xdr:pic macro="[0]!Borrar">
      <xdr:nvPicPr>
        <xdr:cNvPr id="4" name="Picture 3">
          <a:extLst>
            <a:ext uri="{FF2B5EF4-FFF2-40B4-BE49-F238E27FC236}">
              <a16:creationId xmlns:a16="http://schemas.microsoft.com/office/drawing/2014/main" id="{4FA09EAA-DD9A-C8EF-D6B1-66DE885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3358" y="4000773"/>
          <a:ext cx="424780" cy="437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76200</xdr:rowOff>
    </xdr:from>
    <xdr:to>
      <xdr:col>1</xdr:col>
      <xdr:colOff>2381250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5A50B73-65C9-91D0-7169-EBA2386ACE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42" t="16501" r="7420" b="16627"/>
        <a:stretch>
          <a:fillRect/>
        </a:stretch>
      </xdr:blipFill>
      <xdr:spPr>
        <a:xfrm>
          <a:off x="28575" y="76200"/>
          <a:ext cx="2505075" cy="733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E53962-87CB-46A6-A5BD-414646A4D323}" name="lista_materiales" displayName="lista_materiales" ref="A1:H1048576" totalsRowShown="0" headerRowDxfId="131" headerRowBorderDxfId="130">
  <autoFilter ref="A1:H1048576" xr:uid="{2EE53962-87CB-46A6-A5BD-414646A4D323}"/>
  <tableColumns count="8">
    <tableColumn id="1" xr3:uid="{D9D8A746-8DE2-47B7-9153-D2C093AE9552}" name="Nº de artículo" dataDxfId="129"/>
    <tableColumn id="2" xr3:uid="{23A53566-ED23-4713-A2C7-336356860A66}" name="name" dataDxfId="128"/>
    <tableColumn id="7" xr3:uid="{DC1BD6A5-DE6C-4961-AF47-3315D72B2AEE}" name="category" dataDxfId="127"/>
    <tableColumn id="3" xr3:uid="{703F1F2A-D001-4390-A1D6-FE549E30D672}" name="short_name" dataDxfId="126"/>
    <tableColumn id="4" xr3:uid="{81674D12-1374-4D2D-A760-D2A56E51B4C2}" name="polymer_family"/>
    <tableColumn id="5" xr3:uid="{6DCB22DB-AEAE-46C1-BC73-490E7399CEA2}" name="molecular_weight_kDa"/>
    <tableColumn id="6" xr3:uid="{79519DF1-0327-4094-815B-B40652BC038A}" name="solvent_family"/>
    <tableColumn id="8" xr3:uid="{F986675B-1BCC-451D-AD23-B09B6C7156A2}" name="availabl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01ED1C-93A2-47CD-BDE7-1D6E35632F87}" name="Materiales" displayName="Materiales" ref="B1:C31" totalsRowShown="0" headerRowDxfId="125" dataDxfId="123" headerRowBorderDxfId="124" tableBorderDxfId="122">
  <autoFilter ref="B1:C31" xr:uid="{A901ED1C-93A2-47CD-BDE7-1D6E35632F87}"/>
  <tableColumns count="2">
    <tableColumn id="2" xr3:uid="{A5B08827-AC33-4DCF-9BD8-1A38E950618E}" name="Lista de materiales utilizados en el proyecto" dataDxfId="121"/>
    <tableColumn id="1" xr3:uid="{8623F466-142A-4138-B8A3-5D197B125C14}" name="Nº de artículo" dataDxfId="120">
      <calculatedColumnFormula>IFERROR(INDEX(Lista_materiales!A2:A82, MATCH(B2, Lista_materiales!B2:B82, 0)), 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FC6BD-9E52-48EE-9199-A1749F5262BD}" name="Formulas" displayName="Formulas" ref="A1:AG29" headerRowDxfId="101" dataDxfId="100" totalsRowDxfId="99">
  <autoFilter ref="A1:AG29" xr:uid="{E40FC6BD-9E52-48EE-9199-A1749F5262BD}"/>
  <tableColumns count="33">
    <tableColumn id="12" xr3:uid="{87EB8D72-F6D9-42BE-8599-8FDD57BE1BB9}" name="FORMULA" totalsRowLabel="Total" dataDxfId="98"/>
    <tableColumn id="40" xr3:uid="{12F5B675-9B70-42E5-A63E-58617091C900}" name="Fecha" dataDxfId="97"/>
    <tableColumn id="2" xr3:uid="{02845405-20B1-4516-956F-E5ADBE5E1152}" name="Disolvente A" dataDxfId="96"/>
    <tableColumn id="3" xr3:uid="{0B7CD27D-2167-46AE-9963-4C4DAA1599F1}" name="Porcentaje Disolvente A" dataDxfId="95"/>
    <tableColumn id="4" xr3:uid="{60AB4271-897C-4B9C-AA94-984D875271FD}" name="Ratio Disolvente A" dataDxfId="94"/>
    <tableColumn id="5" xr3:uid="{E9E92409-C6EC-492A-A50F-D770AA255CAD}" name="Disolvente B" dataDxfId="93"/>
    <tableColumn id="6" xr3:uid="{743B2949-4D69-49C9-B118-1DD2C73B2DB4}" name="Porcentaje Disolvente B" dataDxfId="92"/>
    <tableColumn id="7" xr3:uid="{AF5615AA-7A64-4380-91A8-0CCF20B224F4}" name="Ratio Disolvente B" dataDxfId="91"/>
    <tableColumn id="8" xr3:uid="{7CD647B0-E84B-47C1-AF77-B5CB1D8CB3AA}" name="Disolvente C" dataDxfId="90"/>
    <tableColumn id="9" xr3:uid="{0CFBF8E8-785A-4FE9-8C35-11A24F90BB50}" name="Porcentaje Disolvente C" dataDxfId="89"/>
    <tableColumn id="10" xr3:uid="{56DACB3A-458B-458A-86DC-E58C9D9A9828}" name="Ratio Disolvente C" dataDxfId="88"/>
    <tableColumn id="11" xr3:uid="{D18C27B1-F569-4635-A35D-BD5AD8F1F4FC}" name="Polimero A" dataDxfId="87"/>
    <tableColumn id="13" xr3:uid="{59BA38B8-DC2B-4061-B207-DF03E035CFB7}" name="Porcentaje Polimero A" dataDxfId="86"/>
    <tableColumn id="14" xr3:uid="{735FF15E-AC4C-48FB-802D-761F17A4B509}" name="Ratio Polimero A" dataDxfId="85"/>
    <tableColumn id="15" xr3:uid="{729640D1-41C2-436B-8EA9-5BD0AC9C70B8}" name="Ratio Solidos Polimero A" dataDxfId="84"/>
    <tableColumn id="16" xr3:uid="{C514F777-4B22-4AE4-A95B-2E3393FFBE21}" name="Polimero B" dataDxfId="83"/>
    <tableColumn id="17" xr3:uid="{0CFDDFA1-EA78-4DBB-90A0-77FBCD14C08D}" name="Porcentaje Polimero B" dataDxfId="82"/>
    <tableColumn id="18" xr3:uid="{3AE5D85E-D27A-42D8-9E6B-1FC7F34F5F24}" name="Ratio Polimero B" dataDxfId="81"/>
    <tableColumn id="19" xr3:uid="{CB14D6D3-6F93-4FB9-B13C-09242FC18121}" name="Ratio Solidos Polimero B" dataDxfId="80"/>
    <tableColumn id="21" xr3:uid="{E025B3DB-AC25-46AC-A8B9-CFAD02E3EEB6}" name="Polimero C" dataDxfId="79"/>
    <tableColumn id="22" xr3:uid="{51A82BC0-2E9F-4FA8-BC4A-2CC0486AA1C5}" name="Porcentaje Polimero C" dataDxfId="78"/>
    <tableColumn id="23" xr3:uid="{3C5B7C40-56B8-4641-9BC7-B555D52D231B}" name="Ratio Polimero C" dataDxfId="77"/>
    <tableColumn id="24" xr3:uid="{CB85CD39-1A35-4BED-9745-C70A36F6421C}" name="Ratio Solidos Polimero C" dataDxfId="76"/>
    <tableColumn id="25" xr3:uid="{C618A1E4-613E-41F6-B30D-E2C88AC2614F}" name="Aditivo A/ API" dataDxfId="75"/>
    <tableColumn id="27" xr3:uid="{16326260-E3C5-4764-B95C-E52E5C019420}" name="Porcentaje Aditivo A/ API" dataDxfId="74"/>
    <tableColumn id="28" xr3:uid="{A9C0C459-FED2-4040-99F0-64E511A1D6E1}" name="Ratio Solidos Aditivo A/ API" dataDxfId="73"/>
    <tableColumn id="29" xr3:uid="{15E3A6C7-82B2-4310-AFA8-58EB3309FF93}" name="Aditivo B /API" dataDxfId="72"/>
    <tableColumn id="31" xr3:uid="{3F0C17BC-9FF3-495C-92A8-818F9C14F2D5}" name="Porcentaje Aditivo B /API" dataDxfId="71"/>
    <tableColumn id="32" xr3:uid="{68F6C24B-DA66-4273-9379-9DCF347351B5}" name="Ratio Solidos Aditivo B /API" dataDxfId="70"/>
    <tableColumn id="33" xr3:uid="{25CA1869-6E1B-4B49-9F0F-51F817FE415B}" name="Aditivo C /API" dataDxfId="69"/>
    <tableColumn id="35" xr3:uid="{691D7FA7-90E4-42A7-8ED1-7310D3F5387F}" name="Porcentaje Aditivo C /API" dataDxfId="68"/>
    <tableColumn id="36" xr3:uid="{5B112EB0-0742-485D-85CB-57ED70C744BD}" name="Ratio Solidos Aditivo C /API" dataDxfId="67"/>
    <tableColumn id="37" xr3:uid="{B1DB00D5-203C-49DE-AC5F-4B3A6D8F2341}" name="Comentarios" totalsRowFunction="count" dataDxfId="6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2B5318-B372-4BB2-B4B5-8B034126072E}" name="Formulas6" displayName="Formulas6" ref="A1:I33" headerRowDxfId="65" dataDxfId="64" totalsRowDxfId="63">
  <autoFilter ref="A1:I33" xr:uid="{E40FC6BD-9E52-48EE-9199-A1749F5262BD}"/>
  <tableColumns count="9">
    <tableColumn id="12" xr3:uid="{124E2658-B7C0-43C8-A16B-D3E2AD78E302}" name="FORMULA " totalsRowLabel="Total" dataDxfId="62"/>
    <tableColumn id="20" xr3:uid="{887CC7B5-6989-47B4-8CD4-1F86987E3577}" name="Fecha Caracterización" dataDxfId="61" totalsRowDxfId="60"/>
    <tableColumn id="26" xr3:uid="{C3C70B5D-D410-41F8-9D89-11E521048033}" name="Viscosidad (cP)" dataDxfId="59" totalsRowDxfId="58"/>
    <tableColumn id="30" xr3:uid="{F024110B-0619-410C-A367-4687EF50868F}" name="Tensión superficial (mN/m)" dataDxfId="57" totalsRowDxfId="56"/>
    <tableColumn id="34" xr3:uid="{C249B0AE-AC71-4696-815B-D37DDA3CA4E3}" name="Conductividad (microS)" dataDxfId="55" totalsRowDxfId="54"/>
    <tableColumn id="38" xr3:uid="{4F12C9F0-9F07-465D-93D4-130C6EE76577}" name="Contenido en sólidos (%)" dataDxfId="53" totalsRowDxfId="52"/>
    <tableColumn id="39" xr3:uid="{C656D77B-ED82-48AA-BEAD-316667C2813D}" name="Densidad (Kg/l)" dataDxfId="51" totalsRowDxfId="50"/>
    <tableColumn id="41" xr3:uid="{7A421B5B-DAB8-4E9D-995B-AA2F1C76D8CB}" name="PH" dataDxfId="49" totalsRowDxfId="48"/>
    <tableColumn id="1" xr3:uid="{2419AA80-2C70-4CAA-9FDD-64446ADE5EB5}" name="Comentarios" dataDxfId="47" totalsRowDxfId="46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6A4EEB-66BF-4668-A69D-D92A873ACDA3}" name="Setup" displayName="Setup" ref="A1:K40" totalsRowShown="0" headerRowDxfId="45" headerRowBorderDxfId="44" tableBorderDxfId="43">
  <autoFilter ref="A1:K40" xr:uid="{45140D38-D9C0-4556-A4B4-B731F8FD8700}"/>
  <tableColumns count="11">
    <tableColumn id="1" xr3:uid="{049DA928-A3F7-4F3B-8144-FE2E9D6C51E3}" name="Numero setup" dataDxfId="42"/>
    <tableColumn id="3" xr3:uid="{9027B17A-7AEF-4C6C-A280-0CF244D9FB18}" name="Maquina" dataDxfId="41"/>
    <tableColumn id="2" xr3:uid="{DA07FCD4-95FD-4FFB-8860-D1251F4DCFB8}" name="Plataforma" dataDxfId="40"/>
    <tableColumn id="5" xr3:uid="{AB5E571C-F02B-4E3C-9D1B-B8CBE84023D8}" name="Inyector" dataDxfId="39"/>
    <tableColumn id="6" xr3:uid="{F5DDAAD3-6E80-44FF-8145-1570C6C540E0}" name="Numero de agujas" dataDxfId="38"/>
    <tableColumn id="7" xr3:uid="{58C830F9-AB01-4A3E-8BCA-2F86E50FBEFB}" name="aguja (G)" dataDxfId="37"/>
    <tableColumn id="4" xr3:uid="{FEC0CAE8-28C1-4D7A-9963-CEB5BB635931}" name="Distancia entre agujas (mm)" dataDxfId="36"/>
    <tableColumn id="11" xr3:uid="{6C793320-0368-4680-9F0B-5088E9CDBF93}" name="Deflectores" dataDxfId="35"/>
    <tableColumn id="8" xr3:uid="{52FD8270-5AF5-4D3D-B201-BF9C2CAF39B5}" name="Sustrato" dataDxfId="34"/>
    <tableColumn id="10" xr3:uid="{88AFAD27-66E3-481B-80C3-D3F78291C41E}" name="Tipo de Drum" dataDxfId="33"/>
    <tableColumn id="9" xr3:uid="{7521494C-D877-4131-9860-97B298520CAA}" name="Tamaño_drum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140D38-D9C0-4556-A4B4-B731F8FD8700}" name="Tabla3" displayName="Tabla3" ref="A2:Y42" totalsRowShown="0" headerRowDxfId="27" headerRowBorderDxfId="26" tableBorderDxfId="25">
  <autoFilter ref="A2:Y42" xr:uid="{45140D38-D9C0-4556-A4B4-B731F8FD8700}"/>
  <tableColumns count="25">
    <tableColumn id="1" xr3:uid="{FDAC2B50-820A-4E52-A1EC-223E7C91B980}" name="Codigo muestra" dataDxfId="24"/>
    <tableColumn id="12" xr3:uid="{6FDB3A2C-599E-4B6F-8D4C-9D2B4DFD50A9}" name="Setup" dataDxfId="23"/>
    <tableColumn id="5" xr3:uid="{1660B75A-65A3-4A5D-8567-007D413B2796}" name="Formula" dataDxfId="22"/>
    <tableColumn id="2" xr3:uid="{4CDB55A3-23F0-47F8-9E40-235B37A3D909}" name="Fecha" dataDxfId="21"/>
    <tableColumn id="4" xr3:uid="{B4F217E2-01DB-4D00-9FC0-D16C28DBBBC4}" name="Propósito" dataDxfId="20"/>
    <tableColumn id="9" xr3:uid="{F39CF409-1008-453A-9FA3-1698E285E98C}" name="Tiempo de prueba (min)" dataDxfId="19"/>
    <tableColumn id="11" xr3:uid="{116E811A-F852-4D44-B407-597431A07211}" name="Velocidad_drum (rpm)" dataDxfId="18"/>
    <tableColumn id="13" xr3:uid="{1DB1AA14-8827-452B-A2B4-C825C840851A}" name="Numero de ciclos (R2R)" dataDxfId="17"/>
    <tableColumn id="14" xr3:uid="{BAF859D0-5A85-4F8E-B567-D3CBF2CB97A8}" name="Velocidad_r2r (mm/s)" dataDxfId="16"/>
    <tableColumn id="16" xr3:uid="{C287BDCD-31BD-4982-8DEE-709138D31F7C}" name="Q1 (mL/h)" dataDxfId="15"/>
    <tableColumn id="17" xr3:uid="{0BDF4E7B-E542-42EC-9BF6-3994AF454D65}" name="HV+ (KV)" dataDxfId="14"/>
    <tableColumn id="18" xr3:uid="{D2F180F6-F637-42A0-B789-001AC94688BC}" name="HV- (KV)" dataDxfId="13"/>
    <tableColumn id="19" xr3:uid="{D88D6D1D-36A2-4717-B1E9-35194443B677}" name="T (ºC)" dataDxfId="12"/>
    <tableColumn id="20" xr3:uid="{2258D4E6-D63E-43DC-AAD3-4E7A6B7944C2}" name="RH (%)" dataDxfId="11"/>
    <tableColumn id="7" xr3:uid="{9BDCE828-8C24-4E4B-9E46-0D0AA0CA37D2}" name="working_distance (mm)" dataDxfId="10"/>
    <tableColumn id="6" xr3:uid="{4283006E-2B14-4FF2-9CBD-E98BA6C06538}" name="Posicion Z" dataDxfId="9"/>
    <tableColumn id="25" xr3:uid="{39627C57-65DC-4628-B816-29FB482E23D1}" name="Posicion Y" dataDxfId="8"/>
    <tableColumn id="28" xr3:uid="{B489EDD4-F802-4456-B606-7E6CE64CBC42}" name="Velocidad sweep Y (mm/s)" dataDxfId="7"/>
    <tableColumn id="29" xr3:uid="{18C967DB-EB4B-49C7-9143-7EC5265E9950}" name="Amplitud Sweep Y (mm)" dataDxfId="6"/>
    <tableColumn id="22" xr3:uid="{2D99C7D8-E4C6-4F77-9964-6422AB4FCBC9}" name="Velocidad sweep X  (mm/s)" dataDxfId="5"/>
    <tableColumn id="23" xr3:uid="{6BE91FEE-A1E4-4F19-A0FC-3947E12F73D9}" name="Amplitud Sweep X (mm)" dataDxfId="4"/>
    <tableColumn id="24" xr3:uid="{97E058CC-77CB-4784-9B8E-E5FB421D8D12}" name="Grado de Procesabilidad" dataDxfId="3"/>
    <tableColumn id="27" xr3:uid="{24AB41E3-12A2-42D8-A7FC-B9BAD941D335}" name="Comentarios del Proceso" dataDxfId="2"/>
    <tableColumn id="26" xr3:uid="{C7811C07-5265-4995-A33F-8B4CEC8BC938}" name="Morfología SEM" dataDxfId="1"/>
    <tableColumn id="3" xr3:uid="{6C713254-5823-4677-A1A2-CA5E3DDD3671}" name="avg fiber diameter (nm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16917-B7DB-4997-A802-F1BD04CB5F14}">
  <sheetPr codeName="Sheet3"/>
  <dimension ref="A1:H933"/>
  <sheetViews>
    <sheetView topLeftCell="A69" zoomScale="145" zoomScaleNormal="145" workbookViewId="0">
      <selection activeCell="B96" sqref="B96"/>
    </sheetView>
  </sheetViews>
  <sheetFormatPr defaultRowHeight="15" x14ac:dyDescent="0.25"/>
  <cols>
    <col min="1" max="1" width="10.7109375" style="275" customWidth="1"/>
    <col min="2" max="2" width="26.28515625" style="278" customWidth="1"/>
    <col min="3" max="3" width="11.7109375" style="46" bestFit="1" customWidth="1"/>
    <col min="4" max="4" width="14" style="264" bestFit="1" customWidth="1"/>
    <col min="5" max="5" width="16.85546875" bestFit="1" customWidth="1"/>
    <col min="6" max="6" width="13.42578125" customWidth="1"/>
    <col min="7" max="7" width="12.140625" customWidth="1"/>
    <col min="8" max="8" width="12" style="266" bestFit="1" customWidth="1"/>
  </cols>
  <sheetData>
    <row r="1" spans="1:8" ht="30" customHeight="1" x14ac:dyDescent="0.25">
      <c r="A1" s="281" t="s">
        <v>1</v>
      </c>
      <c r="B1" s="282" t="s">
        <v>366</v>
      </c>
      <c r="C1" s="283" t="s">
        <v>370</v>
      </c>
      <c r="D1" s="283" t="s">
        <v>367</v>
      </c>
      <c r="E1" s="284" t="s">
        <v>368</v>
      </c>
      <c r="F1" s="283" t="s">
        <v>365</v>
      </c>
      <c r="G1" s="284" t="s">
        <v>369</v>
      </c>
      <c r="H1" s="284" t="s">
        <v>420</v>
      </c>
    </row>
    <row r="2" spans="1:8" x14ac:dyDescent="0.25">
      <c r="A2" s="279"/>
      <c r="B2" s="280" t="s">
        <v>331</v>
      </c>
      <c r="C2" s="264" t="s">
        <v>371</v>
      </c>
      <c r="D2" s="264" t="s">
        <v>377</v>
      </c>
      <c r="E2" s="266"/>
      <c r="F2" s="266"/>
      <c r="G2" s="266" t="s">
        <v>377</v>
      </c>
      <c r="H2" s="266" t="s">
        <v>421</v>
      </c>
    </row>
    <row r="3" spans="1:8" x14ac:dyDescent="0.25">
      <c r="A3" s="272"/>
      <c r="B3" s="276" t="s">
        <v>332</v>
      </c>
      <c r="C3" s="264" t="s">
        <v>371</v>
      </c>
      <c r="D3" s="264" t="s">
        <v>378</v>
      </c>
      <c r="E3" s="266"/>
      <c r="F3" s="266"/>
      <c r="G3" s="266" t="s">
        <v>410</v>
      </c>
      <c r="H3" s="266" t="s">
        <v>421</v>
      </c>
    </row>
    <row r="4" spans="1:8" x14ac:dyDescent="0.25">
      <c r="A4" s="272"/>
      <c r="B4" s="276" t="s">
        <v>255</v>
      </c>
      <c r="C4" s="264" t="s">
        <v>371</v>
      </c>
      <c r="D4" s="264" t="s">
        <v>379</v>
      </c>
      <c r="E4" s="266"/>
      <c r="F4" s="266"/>
      <c r="G4" s="266" t="s">
        <v>411</v>
      </c>
      <c r="H4" s="266" t="s">
        <v>421</v>
      </c>
    </row>
    <row r="5" spans="1:8" ht="21" x14ac:dyDescent="0.25">
      <c r="A5" s="272" t="s">
        <v>5</v>
      </c>
      <c r="B5" s="276" t="s">
        <v>261</v>
      </c>
      <c r="C5" s="264" t="s">
        <v>372</v>
      </c>
      <c r="D5" s="264" t="s">
        <v>336</v>
      </c>
      <c r="E5" s="265" t="s">
        <v>355</v>
      </c>
      <c r="F5" s="266"/>
      <c r="G5" s="266"/>
      <c r="H5" s="266" t="s">
        <v>421</v>
      </c>
    </row>
    <row r="6" spans="1:8" x14ac:dyDescent="0.25">
      <c r="A6" s="272" t="s">
        <v>6</v>
      </c>
      <c r="B6" s="276" t="s">
        <v>262</v>
      </c>
      <c r="C6" s="264" t="s">
        <v>373</v>
      </c>
      <c r="D6" s="264" t="s">
        <v>337</v>
      </c>
      <c r="E6" s="265" t="s">
        <v>356</v>
      </c>
      <c r="F6" s="266"/>
      <c r="G6" s="266"/>
      <c r="H6" s="266" t="s">
        <v>421</v>
      </c>
    </row>
    <row r="7" spans="1:8" x14ac:dyDescent="0.25">
      <c r="A7" s="272" t="s">
        <v>7</v>
      </c>
      <c r="B7" s="276" t="s">
        <v>263</v>
      </c>
      <c r="C7" s="264" t="s">
        <v>371</v>
      </c>
      <c r="D7" s="264" t="s">
        <v>338</v>
      </c>
      <c r="E7" s="266"/>
      <c r="F7" s="266"/>
      <c r="G7" s="266" t="s">
        <v>412</v>
      </c>
      <c r="H7" s="266" t="s">
        <v>421</v>
      </c>
    </row>
    <row r="8" spans="1:8" ht="21" x14ac:dyDescent="0.25">
      <c r="A8" s="272" t="s">
        <v>8</v>
      </c>
      <c r="B8" s="276" t="s">
        <v>264</v>
      </c>
      <c r="C8" s="264" t="s">
        <v>371</v>
      </c>
      <c r="D8" s="264" t="s">
        <v>339</v>
      </c>
      <c r="E8" s="266"/>
      <c r="F8" s="266"/>
      <c r="G8" s="266" t="s">
        <v>413</v>
      </c>
      <c r="H8" s="266" t="s">
        <v>421</v>
      </c>
    </row>
    <row r="9" spans="1:8" ht="21" x14ac:dyDescent="0.25">
      <c r="A9" s="272" t="s">
        <v>9</v>
      </c>
      <c r="B9" s="276" t="s">
        <v>265</v>
      </c>
      <c r="C9" s="264" t="s">
        <v>371</v>
      </c>
      <c r="D9" s="264" t="s">
        <v>340</v>
      </c>
      <c r="E9" s="266"/>
      <c r="F9" s="266"/>
      <c r="G9" s="266" t="s">
        <v>414</v>
      </c>
      <c r="H9" s="266" t="s">
        <v>421</v>
      </c>
    </row>
    <row r="10" spans="1:8" ht="21" x14ac:dyDescent="0.25">
      <c r="A10" s="272" t="s">
        <v>10</v>
      </c>
      <c r="B10" s="276" t="s">
        <v>266</v>
      </c>
      <c r="C10" s="264" t="s">
        <v>371</v>
      </c>
      <c r="D10" s="264" t="s">
        <v>341</v>
      </c>
      <c r="E10" s="266"/>
      <c r="F10" s="266"/>
      <c r="G10" s="266" t="s">
        <v>415</v>
      </c>
      <c r="H10" s="266" t="s">
        <v>421</v>
      </c>
    </row>
    <row r="11" spans="1:8" ht="21" x14ac:dyDescent="0.25">
      <c r="A11" s="272" t="s">
        <v>11</v>
      </c>
      <c r="B11" s="276" t="s">
        <v>267</v>
      </c>
      <c r="C11" s="264" t="s">
        <v>372</v>
      </c>
      <c r="D11" s="264" t="s">
        <v>380</v>
      </c>
      <c r="E11" s="265" t="s">
        <v>357</v>
      </c>
      <c r="F11" s="266">
        <v>100</v>
      </c>
      <c r="G11" s="266"/>
      <c r="H11" s="266" t="s">
        <v>421</v>
      </c>
    </row>
    <row r="12" spans="1:8" ht="21" x14ac:dyDescent="0.25">
      <c r="A12" s="272" t="s">
        <v>12</v>
      </c>
      <c r="B12" s="276" t="s">
        <v>268</v>
      </c>
      <c r="C12" s="264" t="s">
        <v>373</v>
      </c>
      <c r="D12" s="264" t="s">
        <v>381</v>
      </c>
      <c r="E12" s="266"/>
      <c r="F12" s="266"/>
      <c r="G12" s="266"/>
      <c r="H12" s="266" t="s">
        <v>421</v>
      </c>
    </row>
    <row r="13" spans="1:8" ht="21" x14ac:dyDescent="0.25">
      <c r="A13" s="272" t="s">
        <v>13</v>
      </c>
      <c r="B13" s="276" t="s">
        <v>269</v>
      </c>
      <c r="C13" s="264" t="s">
        <v>373</v>
      </c>
      <c r="D13" s="264" t="s">
        <v>381</v>
      </c>
      <c r="E13" s="266"/>
      <c r="F13" s="266"/>
      <c r="G13" s="266"/>
      <c r="H13" s="266" t="s">
        <v>421</v>
      </c>
    </row>
    <row r="14" spans="1:8" x14ac:dyDescent="0.25">
      <c r="A14" s="272" t="s">
        <v>14</v>
      </c>
      <c r="B14" s="276" t="s">
        <v>270</v>
      </c>
      <c r="C14" s="264" t="s">
        <v>372</v>
      </c>
      <c r="D14" s="264" t="s">
        <v>342</v>
      </c>
      <c r="E14" s="265" t="s">
        <v>358</v>
      </c>
      <c r="F14" s="266">
        <v>900</v>
      </c>
      <c r="G14" s="266"/>
      <c r="H14" s="266" t="s">
        <v>421</v>
      </c>
    </row>
    <row r="15" spans="1:8" ht="21" x14ac:dyDescent="0.25">
      <c r="A15" s="272" t="s">
        <v>15</v>
      </c>
      <c r="B15" s="276" t="s">
        <v>271</v>
      </c>
      <c r="C15" s="264"/>
      <c r="E15" s="266"/>
      <c r="F15" s="266"/>
      <c r="G15" s="266"/>
      <c r="H15" s="266" t="s">
        <v>421</v>
      </c>
    </row>
    <row r="16" spans="1:8" x14ac:dyDescent="0.25">
      <c r="A16" s="272" t="s">
        <v>16</v>
      </c>
      <c r="B16" s="276" t="s">
        <v>272</v>
      </c>
      <c r="C16" s="264" t="s">
        <v>372</v>
      </c>
      <c r="D16" s="264" t="s">
        <v>342</v>
      </c>
      <c r="E16" s="265" t="s">
        <v>358</v>
      </c>
      <c r="F16" s="266">
        <v>600</v>
      </c>
      <c r="G16" s="266"/>
      <c r="H16" s="266" t="s">
        <v>421</v>
      </c>
    </row>
    <row r="17" spans="1:8" x14ac:dyDescent="0.25">
      <c r="A17" s="272" t="s">
        <v>17</v>
      </c>
      <c r="B17" s="276" t="s">
        <v>273</v>
      </c>
      <c r="C17" s="264" t="s">
        <v>372</v>
      </c>
      <c r="D17" s="264" t="s">
        <v>342</v>
      </c>
      <c r="E17" s="265" t="s">
        <v>358</v>
      </c>
      <c r="F17" s="266">
        <v>7000</v>
      </c>
      <c r="G17" s="266"/>
      <c r="H17" s="266" t="s">
        <v>421</v>
      </c>
    </row>
    <row r="18" spans="1:8" x14ac:dyDescent="0.25">
      <c r="A18" s="272" t="s">
        <v>18</v>
      </c>
      <c r="B18" s="276" t="s">
        <v>274</v>
      </c>
      <c r="C18" s="264" t="s">
        <v>372</v>
      </c>
      <c r="D18" s="264" t="s">
        <v>342</v>
      </c>
      <c r="E18" s="265" t="s">
        <v>358</v>
      </c>
      <c r="F18" s="266">
        <v>4000</v>
      </c>
      <c r="G18" s="266"/>
      <c r="H18" s="266" t="s">
        <v>421</v>
      </c>
    </row>
    <row r="19" spans="1:8" x14ac:dyDescent="0.25">
      <c r="A19" s="272" t="s">
        <v>19</v>
      </c>
      <c r="B19" s="276" t="s">
        <v>275</v>
      </c>
      <c r="C19" s="264" t="s">
        <v>372</v>
      </c>
      <c r="D19" s="264" t="s">
        <v>342</v>
      </c>
      <c r="E19" s="265" t="s">
        <v>358</v>
      </c>
      <c r="F19" s="266">
        <v>2000</v>
      </c>
      <c r="G19" s="266"/>
      <c r="H19" s="266" t="s">
        <v>421</v>
      </c>
    </row>
    <row r="20" spans="1:8" x14ac:dyDescent="0.25">
      <c r="A20" s="272" t="s">
        <v>20</v>
      </c>
      <c r="B20" s="276" t="s">
        <v>276</v>
      </c>
      <c r="C20" s="264" t="s">
        <v>372</v>
      </c>
      <c r="D20" s="264" t="s">
        <v>342</v>
      </c>
      <c r="E20" s="265" t="s">
        <v>358</v>
      </c>
      <c r="F20" s="266">
        <v>300</v>
      </c>
      <c r="G20" s="266"/>
      <c r="H20" s="266" t="s">
        <v>421</v>
      </c>
    </row>
    <row r="21" spans="1:8" ht="21" x14ac:dyDescent="0.25">
      <c r="A21" s="272" t="s">
        <v>21</v>
      </c>
      <c r="B21" s="276" t="s">
        <v>277</v>
      </c>
      <c r="C21" s="264" t="s">
        <v>372</v>
      </c>
      <c r="D21" s="264" t="s">
        <v>342</v>
      </c>
      <c r="E21" s="265" t="s">
        <v>358</v>
      </c>
      <c r="F21" s="266">
        <v>100</v>
      </c>
      <c r="G21" s="266"/>
      <c r="H21" s="266" t="s">
        <v>421</v>
      </c>
    </row>
    <row r="22" spans="1:8" x14ac:dyDescent="0.25">
      <c r="A22" s="272" t="s">
        <v>22</v>
      </c>
      <c r="B22" s="276" t="s">
        <v>278</v>
      </c>
      <c r="C22" s="264" t="s">
        <v>372</v>
      </c>
      <c r="D22" s="264" t="s">
        <v>342</v>
      </c>
      <c r="E22" s="265" t="s">
        <v>358</v>
      </c>
      <c r="F22" s="266">
        <v>4000</v>
      </c>
      <c r="G22" s="266"/>
      <c r="H22" s="266" t="s">
        <v>421</v>
      </c>
    </row>
    <row r="23" spans="1:8" ht="21" x14ac:dyDescent="0.25">
      <c r="A23" s="272" t="s">
        <v>24</v>
      </c>
      <c r="B23" s="276" t="s">
        <v>23</v>
      </c>
      <c r="C23" s="264" t="s">
        <v>372</v>
      </c>
      <c r="D23" s="264" t="s">
        <v>343</v>
      </c>
      <c r="E23" s="265" t="s">
        <v>359</v>
      </c>
      <c r="F23" s="266"/>
      <c r="G23" s="266"/>
      <c r="H23" s="266" t="s">
        <v>421</v>
      </c>
    </row>
    <row r="24" spans="1:8" ht="21" x14ac:dyDescent="0.25">
      <c r="A24" s="272" t="s">
        <v>26</v>
      </c>
      <c r="B24" s="276" t="s">
        <v>25</v>
      </c>
      <c r="C24" s="264" t="s">
        <v>372</v>
      </c>
      <c r="D24" s="264" t="s">
        <v>343</v>
      </c>
      <c r="E24" s="265" t="s">
        <v>359</v>
      </c>
      <c r="F24" s="266"/>
      <c r="G24" s="266"/>
      <c r="H24" s="266" t="s">
        <v>421</v>
      </c>
    </row>
    <row r="25" spans="1:8" ht="31.5" x14ac:dyDescent="0.25">
      <c r="A25" s="272" t="s">
        <v>27</v>
      </c>
      <c r="B25" s="276" t="s">
        <v>279</v>
      </c>
      <c r="C25" s="264" t="s">
        <v>371</v>
      </c>
      <c r="D25" s="264" t="s">
        <v>341</v>
      </c>
      <c r="E25" s="266"/>
      <c r="F25" s="266"/>
      <c r="G25" s="266" t="s">
        <v>415</v>
      </c>
      <c r="H25" s="266" t="s">
        <v>421</v>
      </c>
    </row>
    <row r="26" spans="1:8" ht="21" x14ac:dyDescent="0.25">
      <c r="A26" s="272" t="s">
        <v>28</v>
      </c>
      <c r="B26" s="276" t="s">
        <v>280</v>
      </c>
      <c r="C26" s="264" t="s">
        <v>371</v>
      </c>
      <c r="D26" s="264" t="s">
        <v>338</v>
      </c>
      <c r="E26" s="266"/>
      <c r="F26" s="266"/>
      <c r="G26" s="266" t="s">
        <v>412</v>
      </c>
      <c r="H26" s="266" t="s">
        <v>421</v>
      </c>
    </row>
    <row r="27" spans="1:8" ht="31.5" x14ac:dyDescent="0.25">
      <c r="A27" s="272" t="s">
        <v>29</v>
      </c>
      <c r="B27" s="276" t="s">
        <v>281</v>
      </c>
      <c r="C27" s="264" t="s">
        <v>372</v>
      </c>
      <c r="D27" s="264" t="s">
        <v>380</v>
      </c>
      <c r="E27" s="266" t="s">
        <v>357</v>
      </c>
      <c r="F27" s="266">
        <v>30</v>
      </c>
      <c r="G27" s="266"/>
      <c r="H27" s="266" t="s">
        <v>421</v>
      </c>
    </row>
    <row r="28" spans="1:8" ht="31.5" x14ac:dyDescent="0.25">
      <c r="A28" s="272" t="s">
        <v>30</v>
      </c>
      <c r="B28" s="276" t="s">
        <v>282</v>
      </c>
      <c r="C28" s="264" t="s">
        <v>374</v>
      </c>
      <c r="D28" s="264" t="s">
        <v>383</v>
      </c>
      <c r="E28" s="266"/>
      <c r="F28" s="266"/>
      <c r="G28" s="266"/>
      <c r="H28" s="266" t="s">
        <v>421</v>
      </c>
    </row>
    <row r="29" spans="1:8" ht="21" x14ac:dyDescent="0.25">
      <c r="A29" s="272" t="s">
        <v>31</v>
      </c>
      <c r="B29" s="276" t="s">
        <v>283</v>
      </c>
      <c r="C29" s="264" t="s">
        <v>372</v>
      </c>
      <c r="D29" s="264" t="s">
        <v>382</v>
      </c>
      <c r="E29" s="266" t="s">
        <v>357</v>
      </c>
      <c r="F29" s="266"/>
      <c r="G29" s="266"/>
      <c r="H29" s="266" t="s">
        <v>421</v>
      </c>
    </row>
    <row r="30" spans="1:8" ht="21" x14ac:dyDescent="0.25">
      <c r="A30" s="272" t="s">
        <v>32</v>
      </c>
      <c r="B30" s="276" t="s">
        <v>284</v>
      </c>
      <c r="C30" s="264" t="s">
        <v>372</v>
      </c>
      <c r="D30" s="264" t="s">
        <v>384</v>
      </c>
      <c r="E30" s="266" t="s">
        <v>357</v>
      </c>
      <c r="F30" s="266"/>
      <c r="G30" s="266"/>
      <c r="H30" s="266" t="s">
        <v>421</v>
      </c>
    </row>
    <row r="31" spans="1:8" ht="21" x14ac:dyDescent="0.25">
      <c r="A31" s="272" t="s">
        <v>33</v>
      </c>
      <c r="B31" s="276" t="s">
        <v>285</v>
      </c>
      <c r="C31" s="264" t="s">
        <v>372</v>
      </c>
      <c r="D31" s="264" t="s">
        <v>344</v>
      </c>
      <c r="E31" s="265" t="s">
        <v>358</v>
      </c>
      <c r="F31" s="266">
        <v>10</v>
      </c>
      <c r="G31" s="266"/>
      <c r="H31" s="266" t="s">
        <v>421</v>
      </c>
    </row>
    <row r="32" spans="1:8" ht="21" x14ac:dyDescent="0.25">
      <c r="A32" s="272" t="s">
        <v>34</v>
      </c>
      <c r="B32" s="276" t="s">
        <v>286</v>
      </c>
      <c r="C32" s="264" t="s">
        <v>372</v>
      </c>
      <c r="D32" s="264" t="s">
        <v>343</v>
      </c>
      <c r="E32" s="265" t="s">
        <v>359</v>
      </c>
      <c r="F32" s="266">
        <v>360</v>
      </c>
      <c r="G32" s="266"/>
      <c r="H32" s="266" t="s">
        <v>421</v>
      </c>
    </row>
    <row r="33" spans="1:8" ht="21" x14ac:dyDescent="0.25">
      <c r="A33" s="272" t="s">
        <v>35</v>
      </c>
      <c r="B33" s="276" t="s">
        <v>287</v>
      </c>
      <c r="C33" s="264" t="s">
        <v>372</v>
      </c>
      <c r="D33" s="264" t="s">
        <v>345</v>
      </c>
      <c r="E33" s="265" t="s">
        <v>409</v>
      </c>
      <c r="F33" s="266"/>
      <c r="G33" s="266"/>
      <c r="H33" s="266" t="s">
        <v>421</v>
      </c>
    </row>
    <row r="34" spans="1:8" x14ac:dyDescent="0.25">
      <c r="A34" s="272" t="s">
        <v>36</v>
      </c>
      <c r="B34" s="276" t="s">
        <v>288</v>
      </c>
      <c r="C34" s="264" t="s">
        <v>375</v>
      </c>
      <c r="D34" s="264" t="s">
        <v>385</v>
      </c>
      <c r="E34" s="266"/>
      <c r="F34" s="266"/>
      <c r="G34" s="266"/>
      <c r="H34" s="266" t="s">
        <v>421</v>
      </c>
    </row>
    <row r="35" spans="1:8" ht="21" x14ac:dyDescent="0.25">
      <c r="A35" s="272" t="s">
        <v>37</v>
      </c>
      <c r="B35" s="276" t="s">
        <v>289</v>
      </c>
      <c r="C35" s="264"/>
      <c r="D35" s="264" t="s">
        <v>386</v>
      </c>
      <c r="E35" s="266"/>
      <c r="F35" s="266"/>
      <c r="G35" s="266"/>
      <c r="H35" s="266" t="s">
        <v>421</v>
      </c>
    </row>
    <row r="36" spans="1:8" x14ac:dyDescent="0.25">
      <c r="A36" s="272" t="s">
        <v>38</v>
      </c>
      <c r="B36" s="276" t="s">
        <v>290</v>
      </c>
      <c r="C36" s="264" t="s">
        <v>372</v>
      </c>
      <c r="D36" s="264" t="s">
        <v>387</v>
      </c>
      <c r="E36" s="266" t="s">
        <v>408</v>
      </c>
      <c r="F36" s="266"/>
      <c r="G36" s="266"/>
      <c r="H36" s="266" t="s">
        <v>421</v>
      </c>
    </row>
    <row r="37" spans="1:8" x14ac:dyDescent="0.25">
      <c r="A37" s="272" t="s">
        <v>39</v>
      </c>
      <c r="B37" s="276" t="s">
        <v>291</v>
      </c>
      <c r="C37" s="264" t="s">
        <v>372</v>
      </c>
      <c r="D37" s="264" t="s">
        <v>353</v>
      </c>
      <c r="E37" s="266" t="s">
        <v>364</v>
      </c>
      <c r="F37" s="266"/>
      <c r="G37" s="266"/>
      <c r="H37" s="266" t="s">
        <v>421</v>
      </c>
    </row>
    <row r="38" spans="1:8" x14ac:dyDescent="0.25">
      <c r="A38" s="272" t="s">
        <v>40</v>
      </c>
      <c r="B38" s="276" t="s">
        <v>292</v>
      </c>
      <c r="C38" s="264" t="s">
        <v>372</v>
      </c>
      <c r="D38" s="264" t="s">
        <v>387</v>
      </c>
      <c r="E38" s="266" t="s">
        <v>408</v>
      </c>
      <c r="F38" s="266"/>
      <c r="G38" s="266"/>
      <c r="H38" s="266" t="s">
        <v>421</v>
      </c>
    </row>
    <row r="39" spans="1:8" ht="21" x14ac:dyDescent="0.25">
      <c r="A39" s="272" t="s">
        <v>41</v>
      </c>
      <c r="B39" s="276" t="s">
        <v>293</v>
      </c>
      <c r="C39" s="264"/>
      <c r="D39" s="264" t="s">
        <v>388</v>
      </c>
      <c r="E39" s="266"/>
      <c r="F39" s="266"/>
      <c r="G39" s="266"/>
      <c r="H39" s="266" t="s">
        <v>421</v>
      </c>
    </row>
    <row r="40" spans="1:8" ht="21" x14ac:dyDescent="0.25">
      <c r="A40" s="272" t="s">
        <v>42</v>
      </c>
      <c r="B40" s="276" t="s">
        <v>294</v>
      </c>
      <c r="C40" s="264" t="s">
        <v>376</v>
      </c>
      <c r="D40" s="264" t="s">
        <v>389</v>
      </c>
      <c r="E40" s="266"/>
      <c r="F40" s="266"/>
      <c r="G40" s="266"/>
      <c r="H40" s="266" t="s">
        <v>421</v>
      </c>
    </row>
    <row r="41" spans="1:8" ht="42" x14ac:dyDescent="0.25">
      <c r="A41" s="272" t="s">
        <v>43</v>
      </c>
      <c r="B41" s="276" t="s">
        <v>295</v>
      </c>
      <c r="C41" s="264"/>
      <c r="E41" s="266"/>
      <c r="F41" s="266"/>
      <c r="G41" s="266"/>
      <c r="H41" s="266" t="s">
        <v>421</v>
      </c>
    </row>
    <row r="42" spans="1:8" ht="21" x14ac:dyDescent="0.25">
      <c r="A42" s="272" t="s">
        <v>44</v>
      </c>
      <c r="B42" s="276" t="s">
        <v>296</v>
      </c>
      <c r="C42" s="264" t="s">
        <v>372</v>
      </c>
      <c r="D42" s="264" t="s">
        <v>344</v>
      </c>
      <c r="E42" s="266" t="s">
        <v>358</v>
      </c>
      <c r="F42" s="266">
        <v>20</v>
      </c>
      <c r="G42" s="266"/>
      <c r="H42" s="266" t="s">
        <v>421</v>
      </c>
    </row>
    <row r="43" spans="1:8" ht="21" x14ac:dyDescent="0.25">
      <c r="A43" s="272" t="s">
        <v>45</v>
      </c>
      <c r="B43" s="276" t="s">
        <v>297</v>
      </c>
      <c r="C43" s="264"/>
      <c r="E43" s="266"/>
      <c r="F43" s="266"/>
      <c r="G43" s="266"/>
      <c r="H43" s="266" t="s">
        <v>421</v>
      </c>
    </row>
    <row r="44" spans="1:8" x14ac:dyDescent="0.25">
      <c r="A44" s="272" t="s">
        <v>46</v>
      </c>
      <c r="B44" s="276" t="s">
        <v>87</v>
      </c>
      <c r="C44" s="264" t="s">
        <v>374</v>
      </c>
      <c r="D44" s="264" t="s">
        <v>390</v>
      </c>
      <c r="E44" s="266"/>
      <c r="F44" s="266"/>
      <c r="G44" s="266"/>
      <c r="H44" s="266" t="s">
        <v>421</v>
      </c>
    </row>
    <row r="45" spans="1:8" ht="21" x14ac:dyDescent="0.25">
      <c r="A45" s="272" t="s">
        <v>47</v>
      </c>
      <c r="B45" s="276" t="s">
        <v>298</v>
      </c>
      <c r="C45" s="264" t="s">
        <v>376</v>
      </c>
      <c r="D45" s="264" t="s">
        <v>391</v>
      </c>
      <c r="E45" s="266"/>
      <c r="F45" s="266"/>
      <c r="G45" s="266"/>
      <c r="H45" s="266" t="s">
        <v>421</v>
      </c>
    </row>
    <row r="46" spans="1:8" ht="42" x14ac:dyDescent="0.25">
      <c r="A46" s="272" t="s">
        <v>48</v>
      </c>
      <c r="B46" s="276" t="s">
        <v>299</v>
      </c>
      <c r="C46" s="264" t="s">
        <v>372</v>
      </c>
      <c r="D46" s="264" t="s">
        <v>392</v>
      </c>
      <c r="E46" s="266" t="s">
        <v>409</v>
      </c>
      <c r="F46" s="266"/>
      <c r="G46" s="266"/>
      <c r="H46" s="266" t="s">
        <v>421</v>
      </c>
    </row>
    <row r="47" spans="1:8" x14ac:dyDescent="0.25">
      <c r="A47" s="272" t="s">
        <v>49</v>
      </c>
      <c r="B47" s="276" t="s">
        <v>300</v>
      </c>
      <c r="C47" s="264" t="s">
        <v>372</v>
      </c>
      <c r="E47" s="266" t="s">
        <v>362</v>
      </c>
      <c r="F47" s="266"/>
      <c r="G47" s="266"/>
      <c r="H47" s="266" t="s">
        <v>421</v>
      </c>
    </row>
    <row r="48" spans="1:8" x14ac:dyDescent="0.25">
      <c r="A48" s="272" t="s">
        <v>50</v>
      </c>
      <c r="B48" s="276" t="s">
        <v>301</v>
      </c>
      <c r="C48" s="264" t="s">
        <v>372</v>
      </c>
      <c r="D48" s="264" t="s">
        <v>346</v>
      </c>
      <c r="E48" s="266" t="s">
        <v>360</v>
      </c>
      <c r="F48" s="266"/>
      <c r="G48" s="266"/>
      <c r="H48" s="266" t="s">
        <v>421</v>
      </c>
    </row>
    <row r="49" spans="1:8" x14ac:dyDescent="0.25">
      <c r="A49" s="272" t="s">
        <v>51</v>
      </c>
      <c r="B49" s="276" t="s">
        <v>85</v>
      </c>
      <c r="C49" s="264" t="s">
        <v>372</v>
      </c>
      <c r="D49" s="264" t="s">
        <v>347</v>
      </c>
      <c r="E49" s="266" t="s">
        <v>360</v>
      </c>
      <c r="F49" s="266"/>
      <c r="G49" s="266"/>
      <c r="H49" s="266" t="s">
        <v>421</v>
      </c>
    </row>
    <row r="50" spans="1:8" x14ac:dyDescent="0.25">
      <c r="A50" s="272" t="s">
        <v>52</v>
      </c>
      <c r="B50" s="276" t="s">
        <v>302</v>
      </c>
      <c r="C50" s="264" t="s">
        <v>372</v>
      </c>
      <c r="D50" s="264" t="s">
        <v>348</v>
      </c>
      <c r="E50" s="266" t="s">
        <v>361</v>
      </c>
      <c r="F50" s="266"/>
      <c r="G50" s="266"/>
      <c r="H50" s="266" t="s">
        <v>421</v>
      </c>
    </row>
    <row r="51" spans="1:8" ht="21" x14ac:dyDescent="0.25">
      <c r="A51" s="272" t="s">
        <v>53</v>
      </c>
      <c r="B51" s="276" t="s">
        <v>303</v>
      </c>
      <c r="C51" s="264" t="s">
        <v>372</v>
      </c>
      <c r="D51" s="264" t="s">
        <v>349</v>
      </c>
      <c r="E51" s="266" t="s">
        <v>361</v>
      </c>
      <c r="F51" s="266"/>
      <c r="G51" s="266"/>
      <c r="H51" s="266" t="s">
        <v>421</v>
      </c>
    </row>
    <row r="52" spans="1:8" ht="21" x14ac:dyDescent="0.25">
      <c r="A52" s="272" t="s">
        <v>54</v>
      </c>
      <c r="B52" s="276" t="s">
        <v>304</v>
      </c>
      <c r="C52" s="264" t="s">
        <v>372</v>
      </c>
      <c r="D52" s="264" t="s">
        <v>393</v>
      </c>
      <c r="E52" s="266" t="s">
        <v>361</v>
      </c>
      <c r="F52" s="266"/>
      <c r="G52" s="266"/>
      <c r="H52" s="266" t="s">
        <v>421</v>
      </c>
    </row>
    <row r="53" spans="1:8" ht="21" x14ac:dyDescent="0.25">
      <c r="A53" s="272" t="s">
        <v>55</v>
      </c>
      <c r="B53" s="276" t="s">
        <v>305</v>
      </c>
      <c r="C53" s="264"/>
      <c r="D53" s="264" t="s">
        <v>394</v>
      </c>
      <c r="E53" s="266"/>
      <c r="F53" s="266"/>
      <c r="G53" s="266"/>
      <c r="H53" s="266" t="s">
        <v>421</v>
      </c>
    </row>
    <row r="54" spans="1:8" x14ac:dyDescent="0.25">
      <c r="A54" s="272" t="s">
        <v>56</v>
      </c>
      <c r="B54" s="276" t="s">
        <v>89</v>
      </c>
      <c r="C54" s="264" t="s">
        <v>372</v>
      </c>
      <c r="D54" s="264" t="s">
        <v>351</v>
      </c>
      <c r="E54" s="265" t="s">
        <v>362</v>
      </c>
      <c r="F54" s="266"/>
      <c r="G54" s="266"/>
      <c r="H54" s="266" t="s">
        <v>421</v>
      </c>
    </row>
    <row r="55" spans="1:8" x14ac:dyDescent="0.25">
      <c r="A55" s="272" t="s">
        <v>57</v>
      </c>
      <c r="B55" s="276" t="s">
        <v>87</v>
      </c>
      <c r="C55" s="264" t="s">
        <v>374</v>
      </c>
      <c r="D55" s="264" t="s">
        <v>390</v>
      </c>
      <c r="E55" s="266"/>
      <c r="F55" s="266"/>
      <c r="G55" s="266"/>
      <c r="H55" s="266" t="s">
        <v>421</v>
      </c>
    </row>
    <row r="56" spans="1:8" x14ac:dyDescent="0.25">
      <c r="A56" s="272" t="s">
        <v>58</v>
      </c>
      <c r="B56" s="276" t="s">
        <v>306</v>
      </c>
      <c r="C56" s="264" t="s">
        <v>372</v>
      </c>
      <c r="D56" s="264" t="s">
        <v>342</v>
      </c>
      <c r="E56" s="265" t="s">
        <v>358</v>
      </c>
      <c r="F56" s="266">
        <v>300</v>
      </c>
      <c r="G56" s="266"/>
      <c r="H56" s="266" t="s">
        <v>421</v>
      </c>
    </row>
    <row r="57" spans="1:8" ht="21" x14ac:dyDescent="0.25">
      <c r="A57" s="272" t="s">
        <v>59</v>
      </c>
      <c r="B57" s="276" t="s">
        <v>307</v>
      </c>
      <c r="C57" s="264"/>
      <c r="D57" s="264" t="s">
        <v>395</v>
      </c>
      <c r="E57" s="266"/>
      <c r="F57" s="266"/>
      <c r="G57" s="266"/>
      <c r="H57" s="266" t="s">
        <v>421</v>
      </c>
    </row>
    <row r="58" spans="1:8" x14ac:dyDescent="0.25">
      <c r="A58" s="272" t="s">
        <v>60</v>
      </c>
      <c r="B58" s="276" t="s">
        <v>308</v>
      </c>
      <c r="C58" s="264" t="s">
        <v>372</v>
      </c>
      <c r="D58" s="264" t="s">
        <v>352</v>
      </c>
      <c r="E58" s="265" t="s">
        <v>363</v>
      </c>
      <c r="F58" s="266"/>
      <c r="G58" s="266"/>
      <c r="H58" s="266" t="s">
        <v>421</v>
      </c>
    </row>
    <row r="59" spans="1:8" x14ac:dyDescent="0.25">
      <c r="A59" s="272" t="s">
        <v>61</v>
      </c>
      <c r="B59" s="276" t="s">
        <v>309</v>
      </c>
      <c r="C59" s="264" t="s">
        <v>372</v>
      </c>
      <c r="D59" s="264" t="s">
        <v>342</v>
      </c>
      <c r="E59" s="266" t="s">
        <v>358</v>
      </c>
      <c r="F59" s="266"/>
      <c r="G59" s="266"/>
      <c r="H59" s="266" t="s">
        <v>421</v>
      </c>
    </row>
    <row r="60" spans="1:8" ht="21" x14ac:dyDescent="0.25">
      <c r="A60" s="272" t="s">
        <v>62</v>
      </c>
      <c r="B60" s="276" t="s">
        <v>310</v>
      </c>
      <c r="C60" s="264" t="s">
        <v>372</v>
      </c>
      <c r="D60" s="264" t="s">
        <v>350</v>
      </c>
      <c r="E60" s="265" t="s">
        <v>364</v>
      </c>
      <c r="F60" s="266"/>
      <c r="G60" s="266"/>
      <c r="H60" s="266" t="s">
        <v>421</v>
      </c>
    </row>
    <row r="61" spans="1:8" x14ac:dyDescent="0.25">
      <c r="A61" s="272" t="s">
        <v>63</v>
      </c>
      <c r="B61" s="276" t="s">
        <v>311</v>
      </c>
      <c r="C61" s="264" t="s">
        <v>372</v>
      </c>
      <c r="D61" s="264" t="s">
        <v>353</v>
      </c>
      <c r="E61" s="265" t="s">
        <v>364</v>
      </c>
      <c r="F61" s="266">
        <v>25</v>
      </c>
      <c r="G61" s="266"/>
      <c r="H61" s="266" t="s">
        <v>421</v>
      </c>
    </row>
    <row r="62" spans="1:8" ht="21" x14ac:dyDescent="0.25">
      <c r="A62" s="272" t="s">
        <v>64</v>
      </c>
      <c r="B62" s="276" t="s">
        <v>312</v>
      </c>
      <c r="C62" s="264" t="s">
        <v>372</v>
      </c>
      <c r="D62" s="264" t="s">
        <v>354</v>
      </c>
      <c r="E62" s="265" t="s">
        <v>359</v>
      </c>
      <c r="F62" s="266"/>
      <c r="G62" s="266"/>
      <c r="H62" s="266" t="s">
        <v>421</v>
      </c>
    </row>
    <row r="63" spans="1:8" x14ac:dyDescent="0.25">
      <c r="A63" s="272" t="s">
        <v>65</v>
      </c>
      <c r="B63" s="276" t="s">
        <v>86</v>
      </c>
      <c r="C63" s="264" t="s">
        <v>372</v>
      </c>
      <c r="D63" s="264" t="s">
        <v>387</v>
      </c>
      <c r="E63" s="266" t="s">
        <v>408</v>
      </c>
      <c r="F63" s="266"/>
      <c r="G63" s="266"/>
      <c r="H63" s="266" t="s">
        <v>421</v>
      </c>
    </row>
    <row r="64" spans="1:8" x14ac:dyDescent="0.25">
      <c r="A64" s="272" t="s">
        <v>66</v>
      </c>
      <c r="B64" s="276" t="s">
        <v>313</v>
      </c>
      <c r="C64" s="264" t="s">
        <v>372</v>
      </c>
      <c r="D64" s="264" t="s">
        <v>387</v>
      </c>
      <c r="E64" s="266" t="s">
        <v>408</v>
      </c>
      <c r="F64" s="266"/>
      <c r="G64" s="266"/>
      <c r="H64" s="266" t="s">
        <v>421</v>
      </c>
    </row>
    <row r="65" spans="1:8" ht="21" x14ac:dyDescent="0.25">
      <c r="A65" s="272" t="s">
        <v>67</v>
      </c>
      <c r="B65" s="276" t="s">
        <v>88</v>
      </c>
      <c r="C65" s="264" t="s">
        <v>372</v>
      </c>
      <c r="D65" s="264" t="s">
        <v>351</v>
      </c>
      <c r="E65" s="265" t="s">
        <v>362</v>
      </c>
      <c r="F65" s="266"/>
      <c r="G65" s="266"/>
      <c r="H65" s="266" t="s">
        <v>421</v>
      </c>
    </row>
    <row r="66" spans="1:8" ht="21" x14ac:dyDescent="0.25">
      <c r="A66" s="272" t="s">
        <v>68</v>
      </c>
      <c r="B66" s="276" t="s">
        <v>314</v>
      </c>
      <c r="C66" s="264" t="s">
        <v>375</v>
      </c>
      <c r="D66" s="264" t="s">
        <v>396</v>
      </c>
      <c r="E66" s="266"/>
      <c r="F66" s="266"/>
      <c r="G66" s="266"/>
      <c r="H66" s="266" t="s">
        <v>421</v>
      </c>
    </row>
    <row r="67" spans="1:8" ht="21" x14ac:dyDescent="0.25">
      <c r="A67" s="272" t="s">
        <v>69</v>
      </c>
      <c r="B67" s="276" t="s">
        <v>315</v>
      </c>
      <c r="C67" s="264" t="s">
        <v>371</v>
      </c>
      <c r="D67" s="264" t="s">
        <v>397</v>
      </c>
      <c r="E67" s="266"/>
      <c r="F67" s="266"/>
      <c r="G67" s="266" t="s">
        <v>411</v>
      </c>
      <c r="H67" s="266" t="s">
        <v>421</v>
      </c>
    </row>
    <row r="68" spans="1:8" x14ac:dyDescent="0.25">
      <c r="A68" s="272" t="s">
        <v>70</v>
      </c>
      <c r="B68" s="276" t="s">
        <v>316</v>
      </c>
      <c r="C68" s="264" t="s">
        <v>372</v>
      </c>
      <c r="D68" s="264" t="s">
        <v>342</v>
      </c>
      <c r="E68" s="265" t="s">
        <v>358</v>
      </c>
      <c r="F68" s="266"/>
      <c r="G68" s="266"/>
      <c r="H68" s="266" t="s">
        <v>421</v>
      </c>
    </row>
    <row r="69" spans="1:8" x14ac:dyDescent="0.25">
      <c r="A69" s="272" t="s">
        <v>71</v>
      </c>
      <c r="B69" s="276" t="s">
        <v>317</v>
      </c>
      <c r="C69" s="264" t="s">
        <v>372</v>
      </c>
      <c r="E69" s="266"/>
      <c r="F69" s="266"/>
      <c r="G69" s="266"/>
      <c r="H69" s="266" t="s">
        <v>421</v>
      </c>
    </row>
    <row r="70" spans="1:8" x14ac:dyDescent="0.25">
      <c r="A70" s="272" t="s">
        <v>72</v>
      </c>
      <c r="B70" s="276" t="s">
        <v>318</v>
      </c>
      <c r="C70" s="264"/>
      <c r="D70" s="264" t="s">
        <v>318</v>
      </c>
      <c r="E70" s="266"/>
      <c r="F70" s="266"/>
      <c r="G70" s="266"/>
      <c r="H70" s="266" t="s">
        <v>421</v>
      </c>
    </row>
    <row r="71" spans="1:8" x14ac:dyDescent="0.25">
      <c r="A71" s="272" t="s">
        <v>73</v>
      </c>
      <c r="B71" s="276" t="s">
        <v>319</v>
      </c>
      <c r="C71" s="264" t="s">
        <v>371</v>
      </c>
      <c r="D71" s="264" t="s">
        <v>398</v>
      </c>
      <c r="E71" s="266"/>
      <c r="F71" s="266"/>
      <c r="G71" s="266" t="s">
        <v>416</v>
      </c>
      <c r="H71" s="266" t="s">
        <v>421</v>
      </c>
    </row>
    <row r="72" spans="1:8" x14ac:dyDescent="0.25">
      <c r="A72" s="272" t="s">
        <v>74</v>
      </c>
      <c r="B72" s="276" t="s">
        <v>320</v>
      </c>
      <c r="C72" s="264" t="s">
        <v>372</v>
      </c>
      <c r="D72" s="264" t="s">
        <v>387</v>
      </c>
      <c r="E72" s="266" t="s">
        <v>408</v>
      </c>
      <c r="F72" s="266"/>
      <c r="G72" s="266"/>
      <c r="H72" s="266" t="s">
        <v>421</v>
      </c>
    </row>
    <row r="73" spans="1:8" x14ac:dyDescent="0.25">
      <c r="A73" s="272" t="s">
        <v>75</v>
      </c>
      <c r="B73" s="276" t="s">
        <v>321</v>
      </c>
      <c r="C73" s="264" t="s">
        <v>371</v>
      </c>
      <c r="D73" s="264" t="s">
        <v>399</v>
      </c>
      <c r="E73" s="266"/>
      <c r="F73" s="266"/>
      <c r="G73" s="266" t="s">
        <v>416</v>
      </c>
      <c r="H73" s="266" t="s">
        <v>421</v>
      </c>
    </row>
    <row r="74" spans="1:8" x14ac:dyDescent="0.25">
      <c r="A74" s="272" t="s">
        <v>76</v>
      </c>
      <c r="B74" s="276" t="s">
        <v>322</v>
      </c>
      <c r="C74" s="264" t="s">
        <v>371</v>
      </c>
      <c r="D74" s="264" t="s">
        <v>400</v>
      </c>
      <c r="E74" s="266"/>
      <c r="F74" s="266"/>
      <c r="G74" s="266" t="s">
        <v>417</v>
      </c>
      <c r="H74" s="266" t="s">
        <v>421</v>
      </c>
    </row>
    <row r="75" spans="1:8" x14ac:dyDescent="0.25">
      <c r="A75" s="272" t="s">
        <v>77</v>
      </c>
      <c r="B75" s="276" t="s">
        <v>323</v>
      </c>
      <c r="C75" s="264" t="s">
        <v>371</v>
      </c>
      <c r="D75" s="264" t="s">
        <v>401</v>
      </c>
      <c r="E75" s="266"/>
      <c r="F75" s="266"/>
      <c r="G75" s="266" t="s">
        <v>417</v>
      </c>
      <c r="H75" s="266" t="s">
        <v>421</v>
      </c>
    </row>
    <row r="76" spans="1:8" x14ac:dyDescent="0.25">
      <c r="A76" s="272" t="s">
        <v>78</v>
      </c>
      <c r="B76" s="276" t="s">
        <v>324</v>
      </c>
      <c r="C76" s="264" t="s">
        <v>371</v>
      </c>
      <c r="D76" s="264" t="s">
        <v>402</v>
      </c>
      <c r="E76" s="266"/>
      <c r="F76" s="266"/>
      <c r="G76" s="266" t="s">
        <v>417</v>
      </c>
      <c r="H76" s="266" t="s">
        <v>421</v>
      </c>
    </row>
    <row r="77" spans="1:8" x14ac:dyDescent="0.25">
      <c r="A77" s="272" t="s">
        <v>79</v>
      </c>
      <c r="B77" s="276" t="s">
        <v>325</v>
      </c>
      <c r="C77" s="264" t="s">
        <v>371</v>
      </c>
      <c r="D77" s="264" t="s">
        <v>403</v>
      </c>
      <c r="E77" s="266"/>
      <c r="F77" s="266"/>
      <c r="G77" s="266" t="s">
        <v>417</v>
      </c>
      <c r="H77" s="266" t="s">
        <v>421</v>
      </c>
    </row>
    <row r="78" spans="1:8" x14ac:dyDescent="0.25">
      <c r="A78" s="272" t="s">
        <v>80</v>
      </c>
      <c r="B78" s="276" t="s">
        <v>326</v>
      </c>
      <c r="C78" s="264" t="s">
        <v>371</v>
      </c>
      <c r="D78" s="264" t="s">
        <v>404</v>
      </c>
      <c r="E78" s="266"/>
      <c r="F78" s="266"/>
      <c r="G78" s="266" t="s">
        <v>418</v>
      </c>
      <c r="H78" s="266" t="s">
        <v>421</v>
      </c>
    </row>
    <row r="79" spans="1:8" x14ac:dyDescent="0.25">
      <c r="A79" s="272" t="s">
        <v>81</v>
      </c>
      <c r="B79" s="276" t="s">
        <v>327</v>
      </c>
      <c r="C79" s="264" t="s">
        <v>371</v>
      </c>
      <c r="D79" s="264" t="s">
        <v>405</v>
      </c>
      <c r="E79" s="266"/>
      <c r="F79" s="266"/>
      <c r="G79" s="266" t="s">
        <v>417</v>
      </c>
      <c r="H79" s="266" t="s">
        <v>421</v>
      </c>
    </row>
    <row r="80" spans="1:8" x14ac:dyDescent="0.25">
      <c r="A80" s="272" t="s">
        <v>82</v>
      </c>
      <c r="B80" s="276" t="s">
        <v>328</v>
      </c>
      <c r="C80" s="264" t="s">
        <v>371</v>
      </c>
      <c r="D80" s="264" t="s">
        <v>406</v>
      </c>
      <c r="E80" s="266"/>
      <c r="F80" s="266"/>
      <c r="G80" s="266" t="s">
        <v>417</v>
      </c>
      <c r="H80" s="266" t="s">
        <v>421</v>
      </c>
    </row>
    <row r="81" spans="1:8" ht="21" x14ac:dyDescent="0.25">
      <c r="A81" s="272" t="s">
        <v>83</v>
      </c>
      <c r="B81" s="276" t="s">
        <v>329</v>
      </c>
      <c r="C81" s="264" t="s">
        <v>371</v>
      </c>
      <c r="D81" s="264" t="s">
        <v>407</v>
      </c>
      <c r="E81" s="266"/>
      <c r="F81" s="266"/>
      <c r="G81" s="266" t="s">
        <v>419</v>
      </c>
      <c r="H81" s="266" t="s">
        <v>421</v>
      </c>
    </row>
    <row r="82" spans="1:8" ht="21" x14ac:dyDescent="0.25">
      <c r="A82" s="272" t="s">
        <v>84</v>
      </c>
      <c r="B82" s="276" t="s">
        <v>330</v>
      </c>
      <c r="C82" s="264" t="s">
        <v>372</v>
      </c>
      <c r="D82" s="264" t="s">
        <v>387</v>
      </c>
      <c r="E82" s="266" t="s">
        <v>408</v>
      </c>
      <c r="F82" s="266"/>
      <c r="G82" s="266"/>
      <c r="H82" s="266" t="s">
        <v>421</v>
      </c>
    </row>
    <row r="83" spans="1:8" x14ac:dyDescent="0.25">
      <c r="A83" s="273"/>
      <c r="C83" s="267"/>
      <c r="E83" s="266"/>
      <c r="F83" s="266"/>
      <c r="G83" s="266"/>
    </row>
    <row r="84" spans="1:8" x14ac:dyDescent="0.25">
      <c r="A84" s="273"/>
      <c r="B84" s="277" t="s">
        <v>465</v>
      </c>
      <c r="C84" s="267" t="s">
        <v>372</v>
      </c>
      <c r="E84" s="266"/>
      <c r="F84" s="266"/>
      <c r="G84" s="266"/>
      <c r="H84" s="266" t="s">
        <v>478</v>
      </c>
    </row>
    <row r="85" spans="1:8" x14ac:dyDescent="0.25">
      <c r="A85" s="273"/>
      <c r="B85" s="277" t="s">
        <v>469</v>
      </c>
      <c r="C85" s="267" t="s">
        <v>372</v>
      </c>
      <c r="E85" s="266"/>
      <c r="F85" s="266"/>
      <c r="G85" s="266"/>
      <c r="H85" s="266" t="s">
        <v>478</v>
      </c>
    </row>
    <row r="86" spans="1:8" x14ac:dyDescent="0.25">
      <c r="A86" s="273"/>
      <c r="B86" s="277" t="s">
        <v>471</v>
      </c>
      <c r="C86" s="267" t="s">
        <v>372</v>
      </c>
      <c r="E86" s="266"/>
      <c r="F86" s="266">
        <v>400</v>
      </c>
      <c r="G86" s="266"/>
      <c r="H86" s="266" t="s">
        <v>478</v>
      </c>
    </row>
    <row r="87" spans="1:8" x14ac:dyDescent="0.25">
      <c r="A87" s="273"/>
      <c r="B87" s="277" t="s">
        <v>473</v>
      </c>
      <c r="C87" s="267" t="s">
        <v>372</v>
      </c>
      <c r="E87" s="266"/>
      <c r="F87" s="266"/>
      <c r="G87" s="266"/>
      <c r="H87" s="266" t="s">
        <v>478</v>
      </c>
    </row>
    <row r="88" spans="1:8" x14ac:dyDescent="0.25">
      <c r="A88" s="273"/>
      <c r="B88" s="277" t="s">
        <v>472</v>
      </c>
      <c r="C88" s="267" t="s">
        <v>372</v>
      </c>
      <c r="E88" s="266"/>
      <c r="F88" s="266"/>
      <c r="G88" s="266"/>
      <c r="H88" s="266" t="s">
        <v>478</v>
      </c>
    </row>
    <row r="89" spans="1:8" x14ac:dyDescent="0.25">
      <c r="A89" s="273"/>
      <c r="B89" s="277" t="s">
        <v>474</v>
      </c>
      <c r="C89" s="267" t="s">
        <v>372</v>
      </c>
      <c r="E89" s="266"/>
      <c r="F89" s="266"/>
      <c r="G89" s="266"/>
      <c r="H89" s="266" t="s">
        <v>478</v>
      </c>
    </row>
    <row r="90" spans="1:8" x14ac:dyDescent="0.25">
      <c r="A90" s="273"/>
      <c r="B90" s="277" t="s">
        <v>475</v>
      </c>
      <c r="C90" s="267" t="s">
        <v>372</v>
      </c>
      <c r="E90" s="266"/>
      <c r="F90" s="266"/>
      <c r="G90" s="266"/>
      <c r="H90" s="266" t="s">
        <v>478</v>
      </c>
    </row>
    <row r="91" spans="1:8" x14ac:dyDescent="0.25">
      <c r="A91" s="273"/>
      <c r="B91" s="277" t="s">
        <v>466</v>
      </c>
      <c r="C91" s="267"/>
      <c r="E91" s="266"/>
      <c r="F91" s="266"/>
      <c r="G91" s="266"/>
      <c r="H91" s="266" t="s">
        <v>478</v>
      </c>
    </row>
    <row r="92" spans="1:8" x14ac:dyDescent="0.25">
      <c r="A92" s="273"/>
      <c r="B92" s="277" t="s">
        <v>467</v>
      </c>
      <c r="C92" s="267" t="s">
        <v>371</v>
      </c>
      <c r="E92" s="266"/>
      <c r="F92" s="266"/>
      <c r="G92" s="266"/>
      <c r="H92" s="266" t="s">
        <v>478</v>
      </c>
    </row>
    <row r="93" spans="1:8" x14ac:dyDescent="0.25">
      <c r="A93" s="273"/>
      <c r="B93" s="277" t="s">
        <v>470</v>
      </c>
      <c r="C93" s="267" t="s">
        <v>371</v>
      </c>
      <c r="E93" s="266"/>
      <c r="F93" s="266"/>
      <c r="G93" s="266"/>
      <c r="H93" s="266" t="s">
        <v>478</v>
      </c>
    </row>
    <row r="94" spans="1:8" x14ac:dyDescent="0.25">
      <c r="A94" s="273"/>
      <c r="B94" s="277" t="s">
        <v>476</v>
      </c>
      <c r="C94" s="267"/>
      <c r="E94" s="266"/>
      <c r="F94" s="266"/>
      <c r="G94" s="266"/>
      <c r="H94" s="266" t="s">
        <v>478</v>
      </c>
    </row>
    <row r="95" spans="1:8" x14ac:dyDescent="0.25">
      <c r="A95" s="273"/>
      <c r="B95" s="277" t="s">
        <v>477</v>
      </c>
      <c r="C95" s="267"/>
      <c r="E95" s="266"/>
      <c r="F95" s="266"/>
      <c r="G95" s="266"/>
      <c r="H95" s="266" t="s">
        <v>478</v>
      </c>
    </row>
    <row r="96" spans="1:8" x14ac:dyDescent="0.25">
      <c r="A96" s="273"/>
      <c r="B96" s="313" t="s">
        <v>468</v>
      </c>
      <c r="C96" s="267" t="s">
        <v>371</v>
      </c>
      <c r="E96" s="266"/>
      <c r="F96" s="266"/>
      <c r="G96" s="266"/>
      <c r="H96" s="266" t="s">
        <v>478</v>
      </c>
    </row>
    <row r="97" spans="1:7" x14ac:dyDescent="0.25">
      <c r="A97" s="273"/>
      <c r="C97" s="267"/>
      <c r="E97" s="266"/>
      <c r="F97" s="266"/>
      <c r="G97" s="266"/>
    </row>
    <row r="98" spans="1:7" x14ac:dyDescent="0.25">
      <c r="A98" s="273"/>
      <c r="B98" s="277"/>
      <c r="C98" s="267"/>
      <c r="E98" s="266"/>
      <c r="F98" s="266"/>
      <c r="G98" s="266"/>
    </row>
    <row r="99" spans="1:7" x14ac:dyDescent="0.25">
      <c r="A99" s="273"/>
      <c r="C99" s="267"/>
      <c r="E99" s="266"/>
      <c r="F99" s="266"/>
      <c r="G99" s="266"/>
    </row>
    <row r="100" spans="1:7" x14ac:dyDescent="0.25">
      <c r="A100" s="273"/>
      <c r="B100" s="277"/>
      <c r="C100" s="267"/>
      <c r="E100" s="266"/>
      <c r="F100" s="266"/>
      <c r="G100" s="266"/>
    </row>
    <row r="101" spans="1:7" x14ac:dyDescent="0.25">
      <c r="A101" s="273"/>
      <c r="C101" s="267"/>
      <c r="E101" s="266"/>
      <c r="F101" s="266"/>
      <c r="G101" s="266"/>
    </row>
    <row r="102" spans="1:7" x14ac:dyDescent="0.25">
      <c r="A102" s="273"/>
      <c r="C102" s="267"/>
      <c r="E102" s="266"/>
      <c r="F102" s="266"/>
      <c r="G102" s="266"/>
    </row>
    <row r="103" spans="1:7" x14ac:dyDescent="0.25">
      <c r="A103" s="273"/>
      <c r="B103" s="277"/>
      <c r="C103" s="267"/>
      <c r="E103" s="266"/>
      <c r="F103" s="266"/>
      <c r="G103" s="266"/>
    </row>
    <row r="104" spans="1:7" x14ac:dyDescent="0.25">
      <c r="A104" s="273"/>
      <c r="B104" s="277"/>
      <c r="C104" s="267"/>
      <c r="E104" s="266"/>
      <c r="F104" s="266"/>
      <c r="G104" s="266"/>
    </row>
    <row r="105" spans="1:7" x14ac:dyDescent="0.25">
      <c r="A105" s="273"/>
      <c r="B105" s="277"/>
      <c r="C105" s="267"/>
      <c r="E105" s="266"/>
      <c r="F105" s="266"/>
      <c r="G105" s="266"/>
    </row>
    <row r="106" spans="1:7" x14ac:dyDescent="0.25">
      <c r="A106" s="273"/>
      <c r="B106" s="277"/>
      <c r="C106" s="267"/>
      <c r="E106" s="266"/>
      <c r="F106" s="266"/>
      <c r="G106" s="266"/>
    </row>
    <row r="107" spans="1:7" x14ac:dyDescent="0.25">
      <c r="A107" s="273"/>
      <c r="B107" s="277"/>
      <c r="C107" s="267"/>
      <c r="E107" s="266"/>
      <c r="F107" s="266"/>
      <c r="G107" s="266"/>
    </row>
    <row r="108" spans="1:7" x14ac:dyDescent="0.25">
      <c r="A108" s="273"/>
      <c r="B108" s="277"/>
      <c r="C108" s="267"/>
      <c r="E108" s="266"/>
      <c r="F108" s="266"/>
      <c r="G108" s="266"/>
    </row>
    <row r="109" spans="1:7" x14ac:dyDescent="0.25">
      <c r="A109" s="273"/>
      <c r="B109" s="277"/>
      <c r="C109" s="267"/>
      <c r="E109" s="266"/>
      <c r="F109" s="266"/>
      <c r="G109" s="266"/>
    </row>
    <row r="110" spans="1:7" x14ac:dyDescent="0.25">
      <c r="A110" s="273"/>
      <c r="B110" s="277"/>
      <c r="C110" s="267"/>
      <c r="E110" s="266"/>
      <c r="F110" s="266"/>
      <c r="G110" s="266"/>
    </row>
    <row r="111" spans="1:7" x14ac:dyDescent="0.25">
      <c r="A111" s="273"/>
      <c r="B111" s="277"/>
      <c r="C111" s="267"/>
      <c r="E111" s="266"/>
      <c r="F111" s="266"/>
      <c r="G111" s="266"/>
    </row>
    <row r="112" spans="1:7" x14ac:dyDescent="0.25">
      <c r="A112" s="273"/>
      <c r="B112" s="277"/>
      <c r="C112" s="267"/>
      <c r="E112" s="266"/>
      <c r="F112" s="266"/>
      <c r="G112" s="266"/>
    </row>
    <row r="113" spans="1:7" x14ac:dyDescent="0.25">
      <c r="A113" s="273"/>
      <c r="B113" s="277"/>
      <c r="C113" s="267"/>
      <c r="E113" s="266"/>
      <c r="F113" s="266"/>
      <c r="G113" s="266"/>
    </row>
    <row r="114" spans="1:7" x14ac:dyDescent="0.25">
      <c r="A114" s="273"/>
      <c r="B114" s="277"/>
      <c r="C114" s="267"/>
      <c r="E114" s="266"/>
      <c r="F114" s="266"/>
      <c r="G114" s="266"/>
    </row>
    <row r="115" spans="1:7" x14ac:dyDescent="0.25">
      <c r="A115" s="273"/>
      <c r="B115" s="277"/>
      <c r="C115" s="267"/>
      <c r="E115" s="266"/>
      <c r="F115" s="266"/>
      <c r="G115" s="266"/>
    </row>
    <row r="116" spans="1:7" x14ac:dyDescent="0.25">
      <c r="A116" s="273"/>
      <c r="B116" s="277"/>
      <c r="C116" s="267"/>
      <c r="E116" s="266"/>
      <c r="F116" s="266"/>
      <c r="G116" s="266"/>
    </row>
    <row r="117" spans="1:7" x14ac:dyDescent="0.25">
      <c r="A117" s="273"/>
      <c r="B117" s="277"/>
      <c r="C117" s="267"/>
      <c r="E117" s="266"/>
      <c r="F117" s="266"/>
      <c r="G117" s="266"/>
    </row>
    <row r="118" spans="1:7" x14ac:dyDescent="0.25">
      <c r="A118" s="273"/>
      <c r="B118" s="277"/>
      <c r="C118" s="267"/>
      <c r="E118" s="266"/>
      <c r="F118" s="266"/>
      <c r="G118" s="266"/>
    </row>
    <row r="119" spans="1:7" x14ac:dyDescent="0.25">
      <c r="A119" s="273"/>
      <c r="B119" s="277"/>
      <c r="C119" s="267"/>
      <c r="E119" s="266"/>
      <c r="F119" s="266"/>
      <c r="G119" s="266"/>
    </row>
    <row r="120" spans="1:7" x14ac:dyDescent="0.25">
      <c r="A120" s="273"/>
      <c r="B120" s="277"/>
      <c r="C120" s="267"/>
      <c r="E120" s="266"/>
      <c r="F120" s="266"/>
      <c r="G120" s="266"/>
    </row>
    <row r="121" spans="1:7" x14ac:dyDescent="0.25">
      <c r="A121" s="273"/>
      <c r="B121" s="277"/>
      <c r="C121" s="267"/>
      <c r="E121" s="266"/>
      <c r="F121" s="266"/>
      <c r="G121" s="266"/>
    </row>
    <row r="122" spans="1:7" x14ac:dyDescent="0.25">
      <c r="A122" s="273"/>
      <c r="B122" s="277"/>
      <c r="C122" s="267"/>
      <c r="E122" s="266"/>
      <c r="F122" s="266"/>
      <c r="G122" s="266"/>
    </row>
    <row r="123" spans="1:7" x14ac:dyDescent="0.25">
      <c r="A123" s="273"/>
      <c r="B123" s="277"/>
      <c r="C123" s="267"/>
      <c r="E123" s="266"/>
      <c r="F123" s="266"/>
      <c r="G123" s="266"/>
    </row>
    <row r="124" spans="1:7" x14ac:dyDescent="0.25">
      <c r="A124" s="273"/>
      <c r="B124" s="277"/>
      <c r="C124" s="267"/>
      <c r="E124" s="266"/>
      <c r="F124" s="266"/>
      <c r="G124" s="266"/>
    </row>
    <row r="125" spans="1:7" x14ac:dyDescent="0.25">
      <c r="A125" s="273"/>
      <c r="B125" s="277"/>
      <c r="C125" s="267"/>
      <c r="E125" s="266"/>
      <c r="F125" s="266"/>
      <c r="G125" s="266"/>
    </row>
    <row r="126" spans="1:7" x14ac:dyDescent="0.25">
      <c r="A126" s="273"/>
      <c r="B126" s="277"/>
      <c r="C126" s="267"/>
      <c r="E126" s="266"/>
      <c r="F126" s="266"/>
      <c r="G126" s="266"/>
    </row>
    <row r="127" spans="1:7" x14ac:dyDescent="0.25">
      <c r="A127" s="273"/>
      <c r="B127" s="277"/>
      <c r="C127" s="267"/>
      <c r="E127" s="266"/>
      <c r="F127" s="266"/>
      <c r="G127" s="266"/>
    </row>
    <row r="128" spans="1:7" x14ac:dyDescent="0.25">
      <c r="A128" s="273"/>
      <c r="B128" s="277"/>
      <c r="C128" s="267"/>
      <c r="E128" s="266"/>
      <c r="F128" s="266"/>
      <c r="G128" s="266"/>
    </row>
    <row r="129" spans="1:7" x14ac:dyDescent="0.25">
      <c r="A129" s="273"/>
      <c r="B129" s="277"/>
      <c r="C129" s="267"/>
      <c r="E129" s="266"/>
      <c r="F129" s="266"/>
      <c r="G129" s="266"/>
    </row>
    <row r="130" spans="1:7" x14ac:dyDescent="0.25">
      <c r="A130" s="273"/>
      <c r="B130" s="277"/>
      <c r="C130" s="267"/>
      <c r="E130" s="266"/>
      <c r="F130" s="266"/>
      <c r="G130" s="266"/>
    </row>
    <row r="131" spans="1:7" x14ac:dyDescent="0.25">
      <c r="A131" s="273"/>
      <c r="B131" s="277"/>
      <c r="C131" s="267"/>
      <c r="E131" s="266"/>
      <c r="F131" s="266"/>
      <c r="G131" s="266"/>
    </row>
    <row r="132" spans="1:7" x14ac:dyDescent="0.25">
      <c r="A132" s="273"/>
      <c r="B132" s="277"/>
      <c r="C132" s="267"/>
      <c r="E132" s="266"/>
      <c r="F132" s="266"/>
      <c r="G132" s="266"/>
    </row>
    <row r="133" spans="1:7" x14ac:dyDescent="0.25">
      <c r="A133" s="273"/>
      <c r="B133" s="277"/>
      <c r="C133" s="267"/>
      <c r="E133" s="266"/>
      <c r="F133" s="266"/>
      <c r="G133" s="266"/>
    </row>
    <row r="134" spans="1:7" x14ac:dyDescent="0.25">
      <c r="A134" s="273"/>
      <c r="B134" s="277"/>
      <c r="C134" s="267"/>
      <c r="E134" s="266"/>
      <c r="F134" s="266"/>
      <c r="G134" s="266"/>
    </row>
    <row r="135" spans="1:7" x14ac:dyDescent="0.25">
      <c r="A135" s="273"/>
      <c r="B135" s="277"/>
      <c r="C135" s="267"/>
      <c r="E135" s="266"/>
      <c r="F135" s="266"/>
      <c r="G135" s="266"/>
    </row>
    <row r="136" spans="1:7" x14ac:dyDescent="0.25">
      <c r="A136" s="273"/>
      <c r="B136" s="277"/>
      <c r="C136" s="267"/>
      <c r="E136" s="266"/>
      <c r="F136" s="266"/>
      <c r="G136" s="266"/>
    </row>
    <row r="137" spans="1:7" x14ac:dyDescent="0.25">
      <c r="A137" s="273"/>
      <c r="B137" s="277"/>
      <c r="C137" s="267"/>
      <c r="E137" s="266"/>
      <c r="F137" s="266"/>
      <c r="G137" s="266"/>
    </row>
    <row r="138" spans="1:7" x14ac:dyDescent="0.25">
      <c r="A138" s="273"/>
      <c r="B138" s="277"/>
      <c r="C138" s="267"/>
      <c r="E138" s="266"/>
      <c r="F138" s="266"/>
      <c r="G138" s="266"/>
    </row>
    <row r="139" spans="1:7" x14ac:dyDescent="0.25">
      <c r="A139" s="273"/>
      <c r="B139" s="277"/>
      <c r="C139" s="267"/>
      <c r="E139" s="266"/>
      <c r="F139" s="266"/>
      <c r="G139" s="266"/>
    </row>
    <row r="140" spans="1:7" x14ac:dyDescent="0.25">
      <c r="A140" s="273"/>
      <c r="B140" s="277"/>
      <c r="C140" s="267"/>
      <c r="E140" s="266"/>
      <c r="F140" s="266"/>
      <c r="G140" s="266"/>
    </row>
    <row r="141" spans="1:7" x14ac:dyDescent="0.25">
      <c r="A141" s="273"/>
      <c r="B141" s="277"/>
      <c r="C141" s="267"/>
      <c r="E141" s="266"/>
      <c r="F141" s="266"/>
      <c r="G141" s="266"/>
    </row>
    <row r="142" spans="1:7" x14ac:dyDescent="0.25">
      <c r="A142" s="273"/>
      <c r="B142" s="277"/>
      <c r="C142" s="267"/>
      <c r="E142" s="266"/>
      <c r="F142" s="266"/>
      <c r="G142" s="266"/>
    </row>
    <row r="143" spans="1:7" x14ac:dyDescent="0.25">
      <c r="A143" s="273"/>
      <c r="B143" s="277"/>
      <c r="C143" s="267"/>
      <c r="E143" s="266"/>
      <c r="F143" s="266"/>
      <c r="G143" s="266"/>
    </row>
    <row r="144" spans="1:7" x14ac:dyDescent="0.25">
      <c r="A144" s="273"/>
      <c r="B144" s="277"/>
      <c r="C144" s="267"/>
      <c r="E144" s="266"/>
      <c r="F144" s="266"/>
      <c r="G144" s="266"/>
    </row>
    <row r="145" spans="1:7" x14ac:dyDescent="0.25">
      <c r="A145" s="273"/>
      <c r="B145" s="277"/>
      <c r="C145" s="267"/>
      <c r="E145" s="266"/>
      <c r="F145" s="266"/>
      <c r="G145" s="266"/>
    </row>
    <row r="146" spans="1:7" x14ac:dyDescent="0.25">
      <c r="A146" s="273"/>
      <c r="B146" s="277"/>
      <c r="C146" s="267"/>
      <c r="E146" s="266"/>
      <c r="F146" s="266"/>
      <c r="G146" s="266"/>
    </row>
    <row r="147" spans="1:7" x14ac:dyDescent="0.25">
      <c r="A147" s="273"/>
      <c r="B147" s="277"/>
      <c r="C147" s="267"/>
      <c r="E147" s="266"/>
      <c r="F147" s="266"/>
      <c r="G147" s="266"/>
    </row>
    <row r="148" spans="1:7" x14ac:dyDescent="0.25">
      <c r="A148" s="273"/>
      <c r="B148" s="277"/>
      <c r="C148" s="267"/>
      <c r="E148" s="266"/>
      <c r="F148" s="266"/>
      <c r="G148" s="266"/>
    </row>
    <row r="149" spans="1:7" x14ac:dyDescent="0.25">
      <c r="A149" s="273"/>
      <c r="B149" s="277"/>
      <c r="C149" s="267"/>
      <c r="E149" s="266"/>
      <c r="F149" s="266"/>
      <c r="G149" s="266"/>
    </row>
    <row r="150" spans="1:7" x14ac:dyDescent="0.25">
      <c r="A150" s="273"/>
      <c r="B150" s="277"/>
      <c r="C150" s="267"/>
      <c r="E150" s="266"/>
      <c r="F150" s="266"/>
      <c r="G150" s="266"/>
    </row>
    <row r="151" spans="1:7" x14ac:dyDescent="0.25">
      <c r="A151" s="273"/>
      <c r="B151" s="277"/>
      <c r="C151" s="267"/>
      <c r="E151" s="266"/>
      <c r="F151" s="266"/>
      <c r="G151" s="266"/>
    </row>
    <row r="152" spans="1:7" x14ac:dyDescent="0.25">
      <c r="A152" s="273"/>
      <c r="B152" s="277"/>
      <c r="C152" s="267"/>
      <c r="E152" s="266"/>
      <c r="F152" s="266"/>
      <c r="G152" s="266"/>
    </row>
    <row r="153" spans="1:7" x14ac:dyDescent="0.25">
      <c r="A153" s="273"/>
      <c r="B153" s="277"/>
      <c r="C153" s="267"/>
      <c r="E153" s="266"/>
      <c r="F153" s="266"/>
      <c r="G153" s="266"/>
    </row>
    <row r="154" spans="1:7" x14ac:dyDescent="0.25">
      <c r="A154" s="273"/>
      <c r="B154" s="277"/>
      <c r="C154" s="267"/>
      <c r="E154" s="266"/>
      <c r="F154" s="266"/>
      <c r="G154" s="266"/>
    </row>
    <row r="155" spans="1:7" x14ac:dyDescent="0.25">
      <c r="A155" s="273"/>
      <c r="B155" s="277"/>
      <c r="C155" s="267"/>
      <c r="E155" s="266"/>
      <c r="F155" s="266"/>
      <c r="G155" s="266"/>
    </row>
    <row r="156" spans="1:7" x14ac:dyDescent="0.25">
      <c r="A156" s="273"/>
      <c r="B156" s="277"/>
      <c r="C156" s="267"/>
      <c r="E156" s="266"/>
      <c r="F156" s="266"/>
      <c r="G156" s="266"/>
    </row>
    <row r="157" spans="1:7" x14ac:dyDescent="0.25">
      <c r="A157" s="273"/>
      <c r="B157" s="277"/>
      <c r="C157" s="267"/>
      <c r="E157" s="266"/>
      <c r="F157" s="266"/>
      <c r="G157" s="266"/>
    </row>
    <row r="158" spans="1:7" x14ac:dyDescent="0.25">
      <c r="A158" s="273"/>
      <c r="B158" s="277"/>
      <c r="C158" s="267"/>
      <c r="E158" s="266"/>
      <c r="F158" s="266"/>
      <c r="G158" s="266"/>
    </row>
    <row r="159" spans="1:7" x14ac:dyDescent="0.25">
      <c r="A159" s="273"/>
      <c r="B159" s="277"/>
      <c r="C159" s="267"/>
      <c r="E159" s="266"/>
      <c r="F159" s="266"/>
      <c r="G159" s="266"/>
    </row>
    <row r="160" spans="1:7" x14ac:dyDescent="0.25">
      <c r="A160" s="273"/>
      <c r="B160" s="277"/>
      <c r="C160" s="267"/>
      <c r="E160" s="266"/>
      <c r="F160" s="266"/>
      <c r="G160" s="266"/>
    </row>
    <row r="161" spans="1:7" x14ac:dyDescent="0.25">
      <c r="A161" s="273"/>
      <c r="B161" s="277"/>
      <c r="C161" s="267"/>
      <c r="E161" s="266"/>
      <c r="F161" s="266"/>
      <c r="G161" s="266"/>
    </row>
    <row r="162" spans="1:7" x14ac:dyDescent="0.25">
      <c r="A162" s="273"/>
      <c r="B162" s="277"/>
      <c r="C162" s="267"/>
      <c r="E162" s="266"/>
      <c r="F162" s="266"/>
      <c r="G162" s="266"/>
    </row>
    <row r="163" spans="1:7" x14ac:dyDescent="0.25">
      <c r="A163" s="273"/>
      <c r="B163" s="277"/>
      <c r="C163" s="267"/>
      <c r="E163" s="266"/>
      <c r="F163" s="266"/>
      <c r="G163" s="266"/>
    </row>
    <row r="164" spans="1:7" x14ac:dyDescent="0.25">
      <c r="A164" s="273"/>
      <c r="B164" s="277"/>
      <c r="C164" s="267"/>
      <c r="E164" s="266"/>
      <c r="F164" s="266"/>
      <c r="G164" s="266"/>
    </row>
    <row r="165" spans="1:7" x14ac:dyDescent="0.25">
      <c r="A165" s="273"/>
      <c r="B165" s="277"/>
      <c r="C165" s="267"/>
      <c r="E165" s="266"/>
      <c r="F165" s="266"/>
      <c r="G165" s="266"/>
    </row>
    <row r="166" spans="1:7" x14ac:dyDescent="0.25">
      <c r="A166" s="273"/>
      <c r="B166" s="277"/>
      <c r="C166" s="267"/>
      <c r="E166" s="266"/>
      <c r="F166" s="266"/>
      <c r="G166" s="266"/>
    </row>
    <row r="167" spans="1:7" x14ac:dyDescent="0.25">
      <c r="A167" s="273"/>
      <c r="B167" s="277"/>
      <c r="C167" s="267"/>
      <c r="E167" s="266"/>
      <c r="F167" s="266"/>
      <c r="G167" s="266"/>
    </row>
    <row r="168" spans="1:7" x14ac:dyDescent="0.25">
      <c r="A168" s="273"/>
      <c r="B168" s="277"/>
      <c r="C168" s="267"/>
      <c r="E168" s="266"/>
      <c r="F168" s="266"/>
      <c r="G168" s="266"/>
    </row>
    <row r="169" spans="1:7" x14ac:dyDescent="0.25">
      <c r="A169" s="273"/>
      <c r="B169" s="277"/>
      <c r="C169" s="267"/>
      <c r="E169" s="266"/>
      <c r="F169" s="266"/>
      <c r="G169" s="266"/>
    </row>
    <row r="170" spans="1:7" x14ac:dyDescent="0.25">
      <c r="A170" s="273"/>
      <c r="B170" s="277"/>
      <c r="C170" s="267"/>
      <c r="E170" s="266"/>
      <c r="F170" s="266"/>
      <c r="G170" s="266"/>
    </row>
    <row r="171" spans="1:7" x14ac:dyDescent="0.25">
      <c r="A171" s="273"/>
      <c r="B171" s="277"/>
      <c r="C171" s="267"/>
      <c r="E171" s="266"/>
      <c r="F171" s="266"/>
      <c r="G171" s="266"/>
    </row>
    <row r="172" spans="1:7" x14ac:dyDescent="0.25">
      <c r="A172" s="273"/>
      <c r="B172" s="277"/>
      <c r="C172" s="267"/>
      <c r="E172" s="266"/>
      <c r="F172" s="266"/>
      <c r="G172" s="266"/>
    </row>
    <row r="173" spans="1:7" x14ac:dyDescent="0.25">
      <c r="A173" s="273"/>
      <c r="B173" s="277"/>
      <c r="C173" s="267"/>
      <c r="E173" s="266"/>
      <c r="F173" s="266"/>
      <c r="G173" s="266"/>
    </row>
    <row r="174" spans="1:7" x14ac:dyDescent="0.25">
      <c r="A174" s="273"/>
      <c r="B174" s="277"/>
      <c r="C174" s="267"/>
      <c r="E174" s="266"/>
      <c r="F174" s="266"/>
      <c r="G174" s="266"/>
    </row>
    <row r="175" spans="1:7" x14ac:dyDescent="0.25">
      <c r="A175" s="273"/>
      <c r="B175" s="277"/>
      <c r="C175" s="267"/>
      <c r="E175" s="266"/>
      <c r="F175" s="266"/>
      <c r="G175" s="266"/>
    </row>
    <row r="176" spans="1:7" x14ac:dyDescent="0.25">
      <c r="A176" s="273"/>
      <c r="B176" s="277"/>
      <c r="C176" s="267"/>
      <c r="E176" s="266"/>
      <c r="F176" s="266"/>
      <c r="G176" s="266"/>
    </row>
    <row r="177" spans="1:7" x14ac:dyDescent="0.25">
      <c r="A177" s="273"/>
      <c r="B177" s="277"/>
      <c r="C177" s="267"/>
      <c r="E177" s="266"/>
      <c r="F177" s="266"/>
      <c r="G177" s="266"/>
    </row>
    <row r="178" spans="1:7" x14ac:dyDescent="0.25">
      <c r="A178" s="273"/>
      <c r="B178" s="277"/>
      <c r="C178" s="267"/>
      <c r="E178" s="266"/>
      <c r="F178" s="266"/>
      <c r="G178" s="266"/>
    </row>
    <row r="179" spans="1:7" x14ac:dyDescent="0.25">
      <c r="A179" s="273"/>
      <c r="B179" s="277"/>
      <c r="C179" s="267"/>
      <c r="E179" s="266"/>
      <c r="F179" s="266"/>
      <c r="G179" s="266"/>
    </row>
    <row r="180" spans="1:7" x14ac:dyDescent="0.25">
      <c r="A180" s="273"/>
      <c r="B180" s="277"/>
      <c r="C180" s="267"/>
      <c r="E180" s="266"/>
      <c r="F180" s="266"/>
      <c r="G180" s="266"/>
    </row>
    <row r="181" spans="1:7" x14ac:dyDescent="0.25">
      <c r="A181" s="273"/>
      <c r="B181" s="277"/>
      <c r="C181" s="267"/>
      <c r="E181" s="266"/>
      <c r="F181" s="266"/>
      <c r="G181" s="266"/>
    </row>
    <row r="182" spans="1:7" x14ac:dyDescent="0.25">
      <c r="A182" s="273"/>
      <c r="B182" s="277"/>
      <c r="C182" s="267"/>
      <c r="E182" s="266"/>
      <c r="F182" s="266"/>
      <c r="G182" s="266"/>
    </row>
    <row r="183" spans="1:7" x14ac:dyDescent="0.25">
      <c r="A183" s="273"/>
      <c r="B183" s="277"/>
      <c r="C183" s="267"/>
      <c r="E183" s="266"/>
      <c r="F183" s="266"/>
      <c r="G183" s="266"/>
    </row>
    <row r="184" spans="1:7" x14ac:dyDescent="0.25">
      <c r="A184" s="273"/>
      <c r="B184" s="277"/>
      <c r="C184" s="267"/>
      <c r="E184" s="266"/>
      <c r="F184" s="266"/>
      <c r="G184" s="266"/>
    </row>
    <row r="185" spans="1:7" x14ac:dyDescent="0.25">
      <c r="A185" s="273"/>
      <c r="B185" s="277"/>
      <c r="C185" s="267"/>
      <c r="E185" s="266"/>
      <c r="F185" s="266"/>
      <c r="G185" s="266"/>
    </row>
    <row r="186" spans="1:7" x14ac:dyDescent="0.25">
      <c r="A186" s="273"/>
      <c r="B186" s="277"/>
      <c r="C186" s="267"/>
      <c r="E186" s="266"/>
      <c r="F186" s="266"/>
      <c r="G186" s="266"/>
    </row>
    <row r="187" spans="1:7" x14ac:dyDescent="0.25">
      <c r="A187" s="273"/>
      <c r="B187" s="277"/>
      <c r="C187" s="267"/>
      <c r="E187" s="266"/>
      <c r="F187" s="266"/>
      <c r="G187" s="266"/>
    </row>
    <row r="188" spans="1:7" x14ac:dyDescent="0.25">
      <c r="A188" s="273"/>
      <c r="B188" s="277"/>
      <c r="C188" s="267"/>
      <c r="E188" s="266"/>
      <c r="F188" s="266"/>
      <c r="G188" s="266"/>
    </row>
    <row r="189" spans="1:7" x14ac:dyDescent="0.25">
      <c r="A189" s="273"/>
      <c r="B189" s="277"/>
      <c r="C189" s="267"/>
      <c r="E189" s="266"/>
      <c r="F189" s="266"/>
      <c r="G189" s="266"/>
    </row>
    <row r="190" spans="1:7" x14ac:dyDescent="0.25">
      <c r="A190" s="273"/>
      <c r="B190" s="277"/>
      <c r="C190" s="267"/>
      <c r="E190" s="266"/>
      <c r="F190" s="266"/>
      <c r="G190" s="266"/>
    </row>
    <row r="191" spans="1:7" x14ac:dyDescent="0.25">
      <c r="A191" s="273"/>
      <c r="B191" s="277"/>
      <c r="C191" s="267"/>
      <c r="E191" s="266"/>
      <c r="F191" s="266"/>
      <c r="G191" s="266"/>
    </row>
    <row r="192" spans="1:7" x14ac:dyDescent="0.25">
      <c r="A192" s="273"/>
      <c r="B192" s="277"/>
      <c r="C192" s="267"/>
      <c r="E192" s="266"/>
      <c r="F192" s="266"/>
      <c r="G192" s="266"/>
    </row>
    <row r="193" spans="1:7" x14ac:dyDescent="0.25">
      <c r="A193" s="273"/>
      <c r="B193" s="277"/>
      <c r="C193" s="267"/>
      <c r="E193" s="266"/>
      <c r="F193" s="266"/>
      <c r="G193" s="266"/>
    </row>
    <row r="194" spans="1:7" x14ac:dyDescent="0.25">
      <c r="A194" s="273"/>
      <c r="B194" s="277"/>
      <c r="C194" s="267"/>
      <c r="E194" s="266"/>
      <c r="F194" s="266"/>
      <c r="G194" s="266"/>
    </row>
    <row r="195" spans="1:7" x14ac:dyDescent="0.25">
      <c r="A195" s="273"/>
      <c r="B195" s="277"/>
      <c r="C195" s="267"/>
      <c r="E195" s="266"/>
      <c r="F195" s="266"/>
      <c r="G195" s="266"/>
    </row>
    <row r="196" spans="1:7" x14ac:dyDescent="0.25">
      <c r="A196" s="273"/>
      <c r="B196" s="277"/>
      <c r="C196" s="267"/>
      <c r="E196" s="266"/>
      <c r="F196" s="266"/>
      <c r="G196" s="266"/>
    </row>
    <row r="197" spans="1:7" x14ac:dyDescent="0.25">
      <c r="A197" s="273"/>
      <c r="B197" s="277"/>
      <c r="C197" s="267"/>
      <c r="E197" s="266"/>
      <c r="F197" s="266"/>
      <c r="G197" s="266"/>
    </row>
    <row r="198" spans="1:7" x14ac:dyDescent="0.25">
      <c r="A198" s="273"/>
      <c r="B198" s="277"/>
      <c r="C198" s="267"/>
      <c r="E198" s="266"/>
      <c r="F198" s="266"/>
      <c r="G198" s="266"/>
    </row>
    <row r="199" spans="1:7" x14ac:dyDescent="0.25">
      <c r="A199" s="273"/>
      <c r="B199" s="277"/>
      <c r="C199" s="267"/>
      <c r="E199" s="266"/>
      <c r="F199" s="266"/>
      <c r="G199" s="266"/>
    </row>
    <row r="200" spans="1:7" x14ac:dyDescent="0.25">
      <c r="A200" s="273"/>
      <c r="B200" s="277"/>
      <c r="C200" s="267"/>
      <c r="E200" s="266"/>
      <c r="F200" s="266"/>
      <c r="G200" s="266"/>
    </row>
    <row r="201" spans="1:7" x14ac:dyDescent="0.25">
      <c r="A201" s="273"/>
      <c r="B201" s="277"/>
      <c r="C201" s="267"/>
      <c r="E201" s="266"/>
      <c r="F201" s="266"/>
      <c r="G201" s="266"/>
    </row>
    <row r="202" spans="1:7" x14ac:dyDescent="0.25">
      <c r="A202" s="273"/>
      <c r="B202" s="277"/>
      <c r="C202" s="267"/>
      <c r="E202" s="266"/>
      <c r="F202" s="266"/>
      <c r="G202" s="266"/>
    </row>
    <row r="203" spans="1:7" x14ac:dyDescent="0.25">
      <c r="A203" s="273"/>
      <c r="B203" s="277"/>
      <c r="C203" s="267"/>
      <c r="E203" s="266"/>
      <c r="F203" s="266"/>
      <c r="G203" s="266"/>
    </row>
    <row r="204" spans="1:7" x14ac:dyDescent="0.25">
      <c r="A204" s="273"/>
      <c r="B204" s="277"/>
      <c r="C204" s="267"/>
      <c r="E204" s="266"/>
      <c r="F204" s="266"/>
      <c r="G204" s="266"/>
    </row>
    <row r="205" spans="1:7" x14ac:dyDescent="0.25">
      <c r="A205" s="273"/>
      <c r="B205" s="277"/>
      <c r="C205" s="267"/>
      <c r="E205" s="266"/>
      <c r="F205" s="266"/>
      <c r="G205" s="266"/>
    </row>
    <row r="206" spans="1:7" x14ac:dyDescent="0.25">
      <c r="A206" s="273"/>
      <c r="B206" s="277"/>
      <c r="C206" s="267"/>
      <c r="E206" s="266"/>
      <c r="F206" s="266"/>
      <c r="G206" s="266"/>
    </row>
    <row r="207" spans="1:7" x14ac:dyDescent="0.25">
      <c r="A207" s="273"/>
      <c r="B207" s="277"/>
      <c r="C207" s="267"/>
      <c r="E207" s="266"/>
      <c r="F207" s="266"/>
      <c r="G207" s="266"/>
    </row>
    <row r="208" spans="1:7" x14ac:dyDescent="0.25">
      <c r="A208" s="273"/>
      <c r="B208" s="277"/>
      <c r="C208" s="267"/>
      <c r="E208" s="266"/>
      <c r="F208" s="266"/>
      <c r="G208" s="266"/>
    </row>
    <row r="209" spans="1:7" x14ac:dyDescent="0.25">
      <c r="A209" s="273"/>
      <c r="B209" s="277"/>
      <c r="C209" s="267"/>
      <c r="E209" s="266"/>
      <c r="F209" s="266"/>
      <c r="G209" s="266"/>
    </row>
    <row r="210" spans="1:7" x14ac:dyDescent="0.25">
      <c r="A210" s="273"/>
      <c r="B210" s="277"/>
      <c r="C210" s="267"/>
      <c r="E210" s="266"/>
      <c r="F210" s="266"/>
      <c r="G210" s="266"/>
    </row>
    <row r="211" spans="1:7" x14ac:dyDescent="0.25">
      <c r="A211" s="273"/>
      <c r="B211" s="277"/>
      <c r="C211" s="267"/>
      <c r="E211" s="266"/>
      <c r="F211" s="266"/>
      <c r="G211" s="266"/>
    </row>
    <row r="212" spans="1:7" x14ac:dyDescent="0.25">
      <c r="A212" s="273"/>
      <c r="B212" s="277"/>
      <c r="C212" s="267"/>
      <c r="E212" s="266"/>
      <c r="F212" s="266"/>
      <c r="G212" s="266"/>
    </row>
    <row r="213" spans="1:7" x14ac:dyDescent="0.25">
      <c r="A213" s="273"/>
      <c r="B213" s="277"/>
      <c r="C213" s="267"/>
      <c r="E213" s="266"/>
      <c r="F213" s="266"/>
      <c r="G213" s="266"/>
    </row>
    <row r="214" spans="1:7" x14ac:dyDescent="0.25">
      <c r="A214" s="273"/>
      <c r="B214" s="277"/>
      <c r="C214" s="267"/>
      <c r="E214" s="266"/>
      <c r="F214" s="266"/>
      <c r="G214" s="266"/>
    </row>
    <row r="215" spans="1:7" x14ac:dyDescent="0.25">
      <c r="A215" s="273"/>
      <c r="B215" s="277"/>
      <c r="C215" s="267"/>
      <c r="E215" s="266"/>
      <c r="F215" s="266"/>
      <c r="G215" s="266"/>
    </row>
    <row r="216" spans="1:7" x14ac:dyDescent="0.25">
      <c r="A216" s="273"/>
      <c r="B216" s="277"/>
      <c r="C216" s="267"/>
      <c r="E216" s="266"/>
      <c r="F216" s="266"/>
      <c r="G216" s="266"/>
    </row>
    <row r="217" spans="1:7" x14ac:dyDescent="0.25">
      <c r="A217" s="273"/>
      <c r="B217" s="277"/>
      <c r="C217" s="267"/>
      <c r="E217" s="266"/>
      <c r="F217" s="266"/>
      <c r="G217" s="266"/>
    </row>
    <row r="218" spans="1:7" x14ac:dyDescent="0.25">
      <c r="A218" s="273"/>
      <c r="B218" s="277"/>
      <c r="C218" s="267"/>
      <c r="E218" s="266"/>
      <c r="F218" s="266"/>
      <c r="G218" s="266"/>
    </row>
    <row r="219" spans="1:7" x14ac:dyDescent="0.25">
      <c r="A219" s="273"/>
      <c r="B219" s="277"/>
      <c r="C219" s="267"/>
      <c r="E219" s="266"/>
      <c r="F219" s="266"/>
      <c r="G219" s="266"/>
    </row>
    <row r="220" spans="1:7" x14ac:dyDescent="0.25">
      <c r="A220" s="273"/>
      <c r="B220" s="277"/>
      <c r="C220" s="267"/>
      <c r="E220" s="266"/>
      <c r="F220" s="266"/>
      <c r="G220" s="266"/>
    </row>
    <row r="221" spans="1:7" x14ac:dyDescent="0.25">
      <c r="A221" s="273"/>
      <c r="B221" s="277"/>
      <c r="C221" s="267"/>
      <c r="E221" s="266"/>
      <c r="F221" s="266"/>
      <c r="G221" s="266"/>
    </row>
    <row r="222" spans="1:7" x14ac:dyDescent="0.25">
      <c r="A222" s="273"/>
      <c r="B222" s="277"/>
      <c r="C222" s="267"/>
      <c r="E222" s="266"/>
      <c r="F222" s="266"/>
      <c r="G222" s="266"/>
    </row>
    <row r="223" spans="1:7" x14ac:dyDescent="0.25">
      <c r="A223" s="273"/>
      <c r="B223" s="277"/>
      <c r="C223" s="267"/>
      <c r="E223" s="266"/>
      <c r="F223" s="266"/>
      <c r="G223" s="266"/>
    </row>
    <row r="224" spans="1:7" x14ac:dyDescent="0.25">
      <c r="A224" s="273"/>
      <c r="B224" s="277"/>
      <c r="C224" s="267"/>
      <c r="E224" s="266"/>
      <c r="F224" s="266"/>
      <c r="G224" s="266"/>
    </row>
    <row r="225" spans="1:7" x14ac:dyDescent="0.25">
      <c r="A225" s="273"/>
      <c r="B225" s="277"/>
      <c r="C225" s="267"/>
      <c r="E225" s="266"/>
      <c r="F225" s="266"/>
      <c r="G225" s="266"/>
    </row>
    <row r="226" spans="1:7" x14ac:dyDescent="0.25">
      <c r="A226" s="273"/>
      <c r="B226" s="277"/>
      <c r="C226" s="267"/>
      <c r="E226" s="266"/>
      <c r="F226" s="266"/>
      <c r="G226" s="266"/>
    </row>
    <row r="227" spans="1:7" x14ac:dyDescent="0.25">
      <c r="A227" s="273"/>
      <c r="B227" s="277"/>
      <c r="C227" s="267"/>
      <c r="E227" s="266"/>
      <c r="F227" s="266"/>
      <c r="G227" s="266"/>
    </row>
    <row r="228" spans="1:7" x14ac:dyDescent="0.25">
      <c r="A228" s="273"/>
      <c r="B228" s="277"/>
      <c r="C228" s="267"/>
      <c r="E228" s="266"/>
      <c r="F228" s="266"/>
      <c r="G228" s="266"/>
    </row>
    <row r="229" spans="1:7" x14ac:dyDescent="0.25">
      <c r="A229" s="273"/>
      <c r="B229" s="277"/>
      <c r="C229" s="267"/>
      <c r="E229" s="266"/>
      <c r="F229" s="266"/>
      <c r="G229" s="266"/>
    </row>
    <row r="230" spans="1:7" x14ac:dyDescent="0.25">
      <c r="A230" s="273"/>
      <c r="B230" s="277"/>
      <c r="C230" s="267"/>
      <c r="E230" s="266"/>
      <c r="F230" s="266"/>
      <c r="G230" s="266"/>
    </row>
    <row r="231" spans="1:7" x14ac:dyDescent="0.25">
      <c r="A231" s="273"/>
      <c r="B231" s="277"/>
      <c r="C231" s="267"/>
      <c r="E231" s="266"/>
      <c r="F231" s="266"/>
      <c r="G231" s="266"/>
    </row>
    <row r="232" spans="1:7" x14ac:dyDescent="0.25">
      <c r="A232" s="273"/>
      <c r="B232" s="277"/>
      <c r="C232" s="267"/>
      <c r="E232" s="266"/>
      <c r="F232" s="266"/>
      <c r="G232" s="266"/>
    </row>
    <row r="233" spans="1:7" x14ac:dyDescent="0.25">
      <c r="A233" s="273"/>
      <c r="B233" s="277"/>
      <c r="C233" s="267"/>
      <c r="E233" s="266"/>
      <c r="F233" s="266"/>
      <c r="G233" s="266"/>
    </row>
    <row r="234" spans="1:7" x14ac:dyDescent="0.25">
      <c r="A234" s="273"/>
      <c r="B234" s="277"/>
      <c r="C234" s="267"/>
      <c r="E234" s="266"/>
      <c r="F234" s="266"/>
      <c r="G234" s="266"/>
    </row>
    <row r="235" spans="1:7" x14ac:dyDescent="0.25">
      <c r="A235" s="273"/>
      <c r="B235" s="277"/>
      <c r="C235" s="267"/>
      <c r="E235" s="266"/>
      <c r="F235" s="266"/>
      <c r="G235" s="266"/>
    </row>
    <row r="236" spans="1:7" x14ac:dyDescent="0.25">
      <c r="A236" s="273"/>
      <c r="B236" s="277"/>
      <c r="C236" s="267"/>
      <c r="E236" s="266"/>
      <c r="F236" s="266"/>
      <c r="G236" s="266"/>
    </row>
    <row r="237" spans="1:7" x14ac:dyDescent="0.25">
      <c r="A237" s="273"/>
      <c r="B237" s="277"/>
      <c r="C237" s="267"/>
      <c r="E237" s="266"/>
      <c r="F237" s="266"/>
      <c r="G237" s="266"/>
    </row>
    <row r="238" spans="1:7" x14ac:dyDescent="0.25">
      <c r="A238" s="273"/>
      <c r="B238" s="277"/>
      <c r="C238" s="267"/>
      <c r="E238" s="266"/>
      <c r="F238" s="266"/>
      <c r="G238" s="266"/>
    </row>
    <row r="239" spans="1:7" x14ac:dyDescent="0.25">
      <c r="A239" s="273"/>
      <c r="B239" s="277"/>
      <c r="C239" s="267"/>
      <c r="E239" s="266"/>
      <c r="F239" s="266"/>
      <c r="G239" s="266"/>
    </row>
    <row r="240" spans="1:7" x14ac:dyDescent="0.25">
      <c r="A240" s="273"/>
      <c r="B240" s="277"/>
      <c r="C240" s="267"/>
      <c r="E240" s="266"/>
      <c r="F240" s="266"/>
      <c r="G240" s="266"/>
    </row>
    <row r="241" spans="1:7" x14ac:dyDescent="0.25">
      <c r="A241" s="273"/>
      <c r="B241" s="277"/>
      <c r="C241" s="267"/>
      <c r="E241" s="266"/>
      <c r="F241" s="266"/>
      <c r="G241" s="266"/>
    </row>
    <row r="242" spans="1:7" x14ac:dyDescent="0.25">
      <c r="A242" s="273"/>
      <c r="B242" s="277"/>
      <c r="C242" s="267"/>
      <c r="E242" s="266"/>
      <c r="F242" s="266"/>
      <c r="G242" s="266"/>
    </row>
    <row r="243" spans="1:7" x14ac:dyDescent="0.25">
      <c r="A243" s="273"/>
      <c r="B243" s="277"/>
      <c r="C243" s="267"/>
      <c r="E243" s="266"/>
      <c r="F243" s="266"/>
      <c r="G243" s="266"/>
    </row>
    <row r="244" spans="1:7" x14ac:dyDescent="0.25">
      <c r="A244" s="273"/>
      <c r="B244" s="277"/>
      <c r="C244" s="267"/>
      <c r="E244" s="266"/>
      <c r="F244" s="266"/>
      <c r="G244" s="266"/>
    </row>
    <row r="245" spans="1:7" x14ac:dyDescent="0.25">
      <c r="A245" s="273"/>
      <c r="B245" s="277"/>
      <c r="C245" s="267"/>
      <c r="E245" s="266"/>
      <c r="F245" s="266"/>
      <c r="G245" s="266"/>
    </row>
    <row r="246" spans="1:7" x14ac:dyDescent="0.25">
      <c r="A246" s="273"/>
      <c r="B246" s="277"/>
      <c r="C246" s="267"/>
      <c r="E246" s="266"/>
      <c r="F246" s="266"/>
      <c r="G246" s="266"/>
    </row>
    <row r="247" spans="1:7" x14ac:dyDescent="0.25">
      <c r="A247" s="273"/>
      <c r="B247" s="277"/>
      <c r="C247" s="267"/>
      <c r="E247" s="266"/>
      <c r="F247" s="266"/>
      <c r="G247" s="266"/>
    </row>
    <row r="248" spans="1:7" x14ac:dyDescent="0.25">
      <c r="A248" s="273"/>
      <c r="B248" s="277"/>
      <c r="C248" s="267"/>
      <c r="E248" s="266"/>
      <c r="F248" s="266"/>
      <c r="G248" s="266"/>
    </row>
    <row r="249" spans="1:7" x14ac:dyDescent="0.25">
      <c r="A249" s="273"/>
      <c r="B249" s="277"/>
      <c r="C249" s="267"/>
      <c r="E249" s="266"/>
      <c r="F249" s="266"/>
      <c r="G249" s="266"/>
    </row>
    <row r="250" spans="1:7" x14ac:dyDescent="0.25">
      <c r="A250" s="273"/>
      <c r="B250" s="277"/>
      <c r="C250" s="267"/>
      <c r="E250" s="266"/>
      <c r="F250" s="266"/>
      <c r="G250" s="266"/>
    </row>
    <row r="251" spans="1:7" x14ac:dyDescent="0.25">
      <c r="A251" s="273"/>
      <c r="B251" s="277"/>
      <c r="C251" s="267"/>
      <c r="E251" s="266"/>
      <c r="F251" s="266"/>
      <c r="G251" s="266"/>
    </row>
    <row r="252" spans="1:7" x14ac:dyDescent="0.25">
      <c r="A252" s="273"/>
      <c r="B252" s="277"/>
      <c r="C252" s="267"/>
      <c r="E252" s="266"/>
      <c r="F252" s="266"/>
      <c r="G252" s="266"/>
    </row>
    <row r="253" spans="1:7" x14ac:dyDescent="0.25">
      <c r="A253" s="273"/>
      <c r="B253" s="277"/>
      <c r="C253" s="267"/>
      <c r="E253" s="266"/>
      <c r="F253" s="266"/>
      <c r="G253" s="266"/>
    </row>
    <row r="254" spans="1:7" x14ac:dyDescent="0.25">
      <c r="A254" s="273"/>
      <c r="B254" s="277"/>
      <c r="C254" s="267"/>
      <c r="E254" s="266"/>
      <c r="F254" s="266"/>
      <c r="G254" s="266"/>
    </row>
    <row r="255" spans="1:7" x14ac:dyDescent="0.25">
      <c r="A255" s="273"/>
      <c r="B255" s="277"/>
      <c r="C255" s="267"/>
      <c r="E255" s="266"/>
      <c r="F255" s="266"/>
      <c r="G255" s="266"/>
    </row>
    <row r="256" spans="1:7" x14ac:dyDescent="0.25">
      <c r="A256" s="273"/>
      <c r="B256" s="277"/>
      <c r="C256" s="267"/>
      <c r="E256" s="266"/>
      <c r="F256" s="266"/>
      <c r="G256" s="266"/>
    </row>
    <row r="257" spans="1:7" x14ac:dyDescent="0.25">
      <c r="A257" s="273"/>
      <c r="B257" s="277"/>
      <c r="C257" s="267"/>
      <c r="E257" s="266"/>
      <c r="F257" s="266"/>
      <c r="G257" s="266"/>
    </row>
    <row r="258" spans="1:7" x14ac:dyDescent="0.25">
      <c r="A258" s="273"/>
      <c r="B258" s="277"/>
      <c r="C258" s="267"/>
      <c r="E258" s="266"/>
      <c r="F258" s="266"/>
      <c r="G258" s="266"/>
    </row>
    <row r="259" spans="1:7" x14ac:dyDescent="0.25">
      <c r="A259" s="273"/>
      <c r="B259" s="277"/>
      <c r="C259" s="267"/>
      <c r="E259" s="266"/>
      <c r="F259" s="266"/>
      <c r="G259" s="266"/>
    </row>
    <row r="260" spans="1:7" x14ac:dyDescent="0.25">
      <c r="A260" s="273"/>
      <c r="B260" s="277"/>
      <c r="C260" s="267"/>
      <c r="E260" s="266"/>
      <c r="F260" s="266"/>
      <c r="G260" s="266"/>
    </row>
    <row r="261" spans="1:7" x14ac:dyDescent="0.25">
      <c r="A261" s="273"/>
      <c r="B261" s="277"/>
      <c r="C261" s="267"/>
      <c r="E261" s="266"/>
      <c r="F261" s="266"/>
      <c r="G261" s="266"/>
    </row>
    <row r="262" spans="1:7" x14ac:dyDescent="0.25">
      <c r="A262" s="273"/>
      <c r="B262" s="277"/>
      <c r="C262" s="267"/>
      <c r="E262" s="266"/>
      <c r="F262" s="266"/>
      <c r="G262" s="266"/>
    </row>
    <row r="263" spans="1:7" x14ac:dyDescent="0.25">
      <c r="A263" s="273"/>
      <c r="B263" s="277"/>
      <c r="C263" s="267"/>
      <c r="E263" s="266"/>
      <c r="F263" s="266"/>
      <c r="G263" s="266"/>
    </row>
    <row r="264" spans="1:7" x14ac:dyDescent="0.25">
      <c r="A264" s="273"/>
      <c r="B264" s="277"/>
      <c r="C264" s="267"/>
      <c r="E264" s="266"/>
      <c r="F264" s="266"/>
      <c r="G264" s="266"/>
    </row>
    <row r="265" spans="1:7" x14ac:dyDescent="0.25">
      <c r="A265" s="273"/>
      <c r="B265" s="277"/>
      <c r="C265" s="267"/>
      <c r="E265" s="266"/>
      <c r="F265" s="266"/>
      <c r="G265" s="266"/>
    </row>
    <row r="266" spans="1:7" x14ac:dyDescent="0.25">
      <c r="A266" s="273"/>
      <c r="B266" s="277"/>
      <c r="C266" s="267"/>
      <c r="E266" s="266"/>
      <c r="F266" s="266"/>
      <c r="G266" s="266"/>
    </row>
    <row r="267" spans="1:7" x14ac:dyDescent="0.25">
      <c r="A267" s="273"/>
      <c r="B267" s="277"/>
      <c r="C267" s="267"/>
      <c r="E267" s="266"/>
      <c r="F267" s="266"/>
      <c r="G267" s="266"/>
    </row>
    <row r="268" spans="1:7" x14ac:dyDescent="0.25">
      <c r="A268" s="273"/>
      <c r="B268" s="277"/>
      <c r="C268" s="267"/>
      <c r="E268" s="266"/>
      <c r="F268" s="266"/>
      <c r="G268" s="266"/>
    </row>
    <row r="269" spans="1:7" x14ac:dyDescent="0.25">
      <c r="A269" s="273"/>
      <c r="B269" s="277"/>
      <c r="C269" s="267"/>
      <c r="E269" s="266"/>
      <c r="F269" s="266"/>
      <c r="G269" s="266"/>
    </row>
    <row r="270" spans="1:7" x14ac:dyDescent="0.25">
      <c r="A270" s="273"/>
      <c r="B270" s="277"/>
      <c r="C270" s="267"/>
      <c r="E270" s="266"/>
      <c r="F270" s="266"/>
      <c r="G270" s="266"/>
    </row>
    <row r="271" spans="1:7" x14ac:dyDescent="0.25">
      <c r="A271" s="273"/>
      <c r="B271" s="277"/>
      <c r="C271" s="267"/>
      <c r="E271" s="266"/>
      <c r="F271" s="266"/>
      <c r="G271" s="266"/>
    </row>
    <row r="272" spans="1:7" x14ac:dyDescent="0.25">
      <c r="A272" s="273"/>
      <c r="B272" s="277"/>
      <c r="C272" s="267"/>
      <c r="E272" s="266"/>
      <c r="F272" s="266"/>
      <c r="G272" s="266"/>
    </row>
    <row r="273" spans="1:7" x14ac:dyDescent="0.25">
      <c r="A273" s="273"/>
      <c r="B273" s="277"/>
      <c r="C273" s="267"/>
      <c r="E273" s="266"/>
      <c r="F273" s="266"/>
      <c r="G273" s="266"/>
    </row>
    <row r="274" spans="1:7" x14ac:dyDescent="0.25">
      <c r="A274" s="273"/>
      <c r="B274" s="277"/>
      <c r="C274" s="267"/>
      <c r="E274" s="266"/>
      <c r="F274" s="266"/>
      <c r="G274" s="266"/>
    </row>
    <row r="275" spans="1:7" x14ac:dyDescent="0.25">
      <c r="A275" s="273"/>
      <c r="B275" s="277"/>
      <c r="C275" s="267"/>
      <c r="E275" s="266"/>
      <c r="F275" s="266"/>
      <c r="G275" s="266"/>
    </row>
    <row r="276" spans="1:7" x14ac:dyDescent="0.25">
      <c r="A276" s="273"/>
      <c r="B276" s="277"/>
      <c r="C276" s="267"/>
      <c r="E276" s="266"/>
      <c r="F276" s="266"/>
      <c r="G276" s="266"/>
    </row>
    <row r="277" spans="1:7" x14ac:dyDescent="0.25">
      <c r="A277" s="273"/>
      <c r="B277" s="277"/>
      <c r="C277" s="267"/>
      <c r="E277" s="266"/>
      <c r="F277" s="266"/>
      <c r="G277" s="266"/>
    </row>
    <row r="278" spans="1:7" x14ac:dyDescent="0.25">
      <c r="A278" s="273"/>
      <c r="B278" s="277"/>
      <c r="C278" s="267"/>
      <c r="E278" s="266"/>
      <c r="F278" s="266"/>
      <c r="G278" s="266"/>
    </row>
    <row r="279" spans="1:7" x14ac:dyDescent="0.25">
      <c r="A279" s="273"/>
      <c r="B279" s="277"/>
      <c r="C279" s="267"/>
      <c r="E279" s="266"/>
      <c r="F279" s="266"/>
      <c r="G279" s="266"/>
    </row>
    <row r="280" spans="1:7" x14ac:dyDescent="0.25">
      <c r="A280" s="273"/>
      <c r="B280" s="277"/>
      <c r="C280" s="267"/>
      <c r="E280" s="266"/>
      <c r="F280" s="266"/>
      <c r="G280" s="266"/>
    </row>
    <row r="281" spans="1:7" x14ac:dyDescent="0.25">
      <c r="A281" s="273"/>
      <c r="B281" s="277"/>
      <c r="C281" s="267"/>
      <c r="E281" s="266"/>
      <c r="F281" s="266"/>
      <c r="G281" s="266"/>
    </row>
    <row r="282" spans="1:7" x14ac:dyDescent="0.25">
      <c r="A282" s="273"/>
      <c r="B282" s="277"/>
      <c r="C282" s="267"/>
      <c r="E282" s="266"/>
      <c r="F282" s="266"/>
      <c r="G282" s="266"/>
    </row>
    <row r="283" spans="1:7" x14ac:dyDescent="0.25">
      <c r="A283" s="273"/>
      <c r="B283" s="277"/>
      <c r="C283" s="267"/>
      <c r="E283" s="266"/>
      <c r="F283" s="266"/>
      <c r="G283" s="266"/>
    </row>
    <row r="284" spans="1:7" x14ac:dyDescent="0.25">
      <c r="A284" s="273"/>
      <c r="B284" s="277"/>
      <c r="C284" s="267"/>
      <c r="E284" s="266"/>
      <c r="F284" s="266"/>
      <c r="G284" s="266"/>
    </row>
    <row r="285" spans="1:7" x14ac:dyDescent="0.25">
      <c r="A285" s="273"/>
      <c r="B285" s="277"/>
      <c r="C285" s="267"/>
      <c r="E285" s="266"/>
      <c r="F285" s="266"/>
      <c r="G285" s="266"/>
    </row>
    <row r="286" spans="1:7" x14ac:dyDescent="0.25">
      <c r="A286" s="273"/>
      <c r="B286" s="277"/>
      <c r="C286" s="267"/>
      <c r="E286" s="266"/>
      <c r="F286" s="266"/>
      <c r="G286" s="266"/>
    </row>
    <row r="287" spans="1:7" x14ac:dyDescent="0.25">
      <c r="A287" s="273"/>
      <c r="B287" s="277"/>
      <c r="C287" s="267"/>
      <c r="E287" s="266"/>
      <c r="F287" s="266"/>
      <c r="G287" s="266"/>
    </row>
    <row r="288" spans="1:7" x14ac:dyDescent="0.25">
      <c r="A288" s="273"/>
      <c r="B288" s="277"/>
      <c r="C288" s="267"/>
      <c r="E288" s="266"/>
      <c r="F288" s="266"/>
      <c r="G288" s="266"/>
    </row>
    <row r="289" spans="1:7" x14ac:dyDescent="0.25">
      <c r="A289" s="273"/>
      <c r="B289" s="277"/>
      <c r="C289" s="267"/>
      <c r="E289" s="266"/>
      <c r="F289" s="266"/>
      <c r="G289" s="266"/>
    </row>
    <row r="290" spans="1:7" x14ac:dyDescent="0.25">
      <c r="A290" s="273"/>
      <c r="B290" s="277"/>
      <c r="C290" s="267"/>
      <c r="E290" s="266"/>
      <c r="F290" s="266"/>
      <c r="G290" s="266"/>
    </row>
    <row r="291" spans="1:7" x14ac:dyDescent="0.25">
      <c r="A291" s="273"/>
      <c r="B291" s="277"/>
      <c r="C291" s="267"/>
      <c r="E291" s="266"/>
      <c r="F291" s="266"/>
      <c r="G291" s="266"/>
    </row>
    <row r="292" spans="1:7" x14ac:dyDescent="0.25">
      <c r="A292" s="273"/>
      <c r="B292" s="277"/>
      <c r="C292" s="267"/>
      <c r="E292" s="266"/>
      <c r="F292" s="266"/>
      <c r="G292" s="266"/>
    </row>
    <row r="293" spans="1:7" x14ac:dyDescent="0.25">
      <c r="A293" s="273"/>
      <c r="B293" s="277"/>
      <c r="C293" s="267"/>
      <c r="E293" s="266"/>
      <c r="F293" s="266"/>
      <c r="G293" s="266"/>
    </row>
    <row r="294" spans="1:7" x14ac:dyDescent="0.25">
      <c r="A294" s="273"/>
      <c r="B294" s="277"/>
      <c r="C294" s="267"/>
      <c r="E294" s="266"/>
      <c r="F294" s="266"/>
      <c r="G294" s="266"/>
    </row>
    <row r="295" spans="1:7" x14ac:dyDescent="0.25">
      <c r="A295" s="273"/>
      <c r="B295" s="277"/>
      <c r="C295" s="267"/>
      <c r="E295" s="266"/>
      <c r="F295" s="266"/>
      <c r="G295" s="266"/>
    </row>
    <row r="296" spans="1:7" x14ac:dyDescent="0.25">
      <c r="A296" s="273"/>
      <c r="B296" s="277"/>
      <c r="C296" s="267"/>
      <c r="E296" s="266"/>
      <c r="F296" s="266"/>
      <c r="G296" s="266"/>
    </row>
    <row r="297" spans="1:7" x14ac:dyDescent="0.25">
      <c r="A297" s="273"/>
      <c r="B297" s="277"/>
      <c r="C297" s="267"/>
      <c r="E297" s="266"/>
      <c r="F297" s="266"/>
      <c r="G297" s="266"/>
    </row>
    <row r="298" spans="1:7" x14ac:dyDescent="0.25">
      <c r="A298" s="273"/>
      <c r="B298" s="277"/>
      <c r="C298" s="267"/>
      <c r="E298" s="266"/>
      <c r="F298" s="266"/>
      <c r="G298" s="266"/>
    </row>
    <row r="299" spans="1:7" x14ac:dyDescent="0.25">
      <c r="A299" s="273"/>
      <c r="B299" s="277"/>
      <c r="C299" s="267"/>
      <c r="E299" s="266"/>
      <c r="F299" s="266"/>
      <c r="G299" s="266"/>
    </row>
    <row r="300" spans="1:7" x14ac:dyDescent="0.25">
      <c r="A300" s="273"/>
      <c r="B300" s="277"/>
      <c r="C300" s="267"/>
      <c r="E300" s="266"/>
      <c r="F300" s="266"/>
      <c r="G300" s="266"/>
    </row>
    <row r="301" spans="1:7" x14ac:dyDescent="0.25">
      <c r="A301" s="273"/>
      <c r="B301" s="277"/>
      <c r="C301" s="267"/>
      <c r="E301" s="266"/>
      <c r="F301" s="266"/>
      <c r="G301" s="266"/>
    </row>
    <row r="302" spans="1:7" x14ac:dyDescent="0.25">
      <c r="A302" s="273"/>
      <c r="B302" s="277"/>
      <c r="C302" s="267"/>
      <c r="E302" s="266"/>
      <c r="F302" s="266"/>
      <c r="G302" s="266"/>
    </row>
    <row r="303" spans="1:7" x14ac:dyDescent="0.25">
      <c r="A303" s="273"/>
      <c r="B303" s="277"/>
      <c r="C303" s="267"/>
      <c r="E303" s="266"/>
      <c r="F303" s="266"/>
      <c r="G303" s="266"/>
    </row>
    <row r="304" spans="1:7" x14ac:dyDescent="0.25">
      <c r="A304" s="273"/>
      <c r="B304" s="277"/>
      <c r="C304" s="267"/>
      <c r="E304" s="266"/>
      <c r="F304" s="266"/>
      <c r="G304" s="266"/>
    </row>
    <row r="305" spans="1:7" x14ac:dyDescent="0.25">
      <c r="A305" s="273"/>
      <c r="B305" s="277"/>
      <c r="C305" s="267"/>
      <c r="E305" s="266"/>
      <c r="F305" s="266"/>
      <c r="G305" s="266"/>
    </row>
    <row r="306" spans="1:7" x14ac:dyDescent="0.25">
      <c r="A306" s="273"/>
      <c r="B306" s="277"/>
      <c r="C306" s="267"/>
      <c r="E306" s="266"/>
      <c r="F306" s="266"/>
      <c r="G306" s="266"/>
    </row>
    <row r="307" spans="1:7" x14ac:dyDescent="0.25">
      <c r="A307" s="273"/>
      <c r="B307" s="277"/>
      <c r="C307" s="267"/>
      <c r="E307" s="266"/>
      <c r="F307" s="266"/>
      <c r="G307" s="266"/>
    </row>
    <row r="308" spans="1:7" x14ac:dyDescent="0.25">
      <c r="A308" s="273"/>
      <c r="B308" s="277"/>
      <c r="C308" s="267"/>
      <c r="E308" s="266"/>
      <c r="F308" s="266"/>
      <c r="G308" s="266"/>
    </row>
    <row r="309" spans="1:7" x14ac:dyDescent="0.25">
      <c r="A309" s="273"/>
      <c r="B309" s="277"/>
      <c r="C309" s="267"/>
      <c r="E309" s="266"/>
      <c r="F309" s="266"/>
      <c r="G309" s="266"/>
    </row>
    <row r="310" spans="1:7" x14ac:dyDescent="0.25">
      <c r="A310" s="273"/>
      <c r="B310" s="277"/>
      <c r="C310" s="267"/>
      <c r="E310" s="266"/>
      <c r="F310" s="266"/>
      <c r="G310" s="266"/>
    </row>
    <row r="311" spans="1:7" x14ac:dyDescent="0.25">
      <c r="A311" s="273"/>
      <c r="B311" s="277"/>
      <c r="C311" s="267"/>
      <c r="E311" s="266"/>
      <c r="F311" s="266"/>
      <c r="G311" s="266"/>
    </row>
    <row r="312" spans="1:7" x14ac:dyDescent="0.25">
      <c r="A312" s="273"/>
      <c r="B312" s="277"/>
      <c r="C312" s="267"/>
      <c r="E312" s="266"/>
      <c r="F312" s="266"/>
      <c r="G312" s="266"/>
    </row>
    <row r="313" spans="1:7" x14ac:dyDescent="0.25">
      <c r="A313" s="273"/>
      <c r="B313" s="277"/>
      <c r="C313" s="267"/>
      <c r="E313" s="266"/>
      <c r="F313" s="266"/>
      <c r="G313" s="266"/>
    </row>
    <row r="314" spans="1:7" x14ac:dyDescent="0.25">
      <c r="A314" s="273"/>
      <c r="B314" s="277"/>
      <c r="C314" s="267"/>
      <c r="E314" s="266"/>
      <c r="F314" s="266"/>
      <c r="G314" s="266"/>
    </row>
    <row r="315" spans="1:7" x14ac:dyDescent="0.25">
      <c r="A315" s="273"/>
      <c r="B315" s="277"/>
      <c r="C315" s="267"/>
      <c r="E315" s="266"/>
      <c r="F315" s="266"/>
      <c r="G315" s="266"/>
    </row>
    <row r="316" spans="1:7" x14ac:dyDescent="0.25">
      <c r="A316" s="273"/>
      <c r="B316" s="277"/>
      <c r="C316" s="267"/>
      <c r="E316" s="266"/>
      <c r="F316" s="266"/>
      <c r="G316" s="266"/>
    </row>
    <row r="317" spans="1:7" x14ac:dyDescent="0.25">
      <c r="A317" s="273"/>
      <c r="B317" s="277"/>
      <c r="C317" s="267"/>
      <c r="E317" s="266"/>
      <c r="F317" s="266"/>
      <c r="G317" s="266"/>
    </row>
    <row r="318" spans="1:7" x14ac:dyDescent="0.25">
      <c r="A318" s="273"/>
      <c r="B318" s="277"/>
      <c r="C318" s="267"/>
      <c r="E318" s="266"/>
      <c r="F318" s="266"/>
      <c r="G318" s="266"/>
    </row>
    <row r="319" spans="1:7" x14ac:dyDescent="0.25">
      <c r="A319" s="273"/>
      <c r="B319" s="277"/>
      <c r="C319" s="267"/>
      <c r="E319" s="266"/>
      <c r="F319" s="266"/>
      <c r="G319" s="266"/>
    </row>
    <row r="320" spans="1:7" x14ac:dyDescent="0.25">
      <c r="A320" s="273"/>
      <c r="B320" s="277"/>
      <c r="C320" s="267"/>
      <c r="E320" s="266"/>
      <c r="F320" s="266"/>
      <c r="G320" s="266"/>
    </row>
    <row r="321" spans="1:7" x14ac:dyDescent="0.25">
      <c r="A321" s="273"/>
      <c r="B321" s="277"/>
      <c r="C321" s="267"/>
      <c r="E321" s="266"/>
      <c r="F321" s="266"/>
      <c r="G321" s="266"/>
    </row>
    <row r="322" spans="1:7" x14ac:dyDescent="0.25">
      <c r="A322" s="273"/>
      <c r="B322" s="277"/>
      <c r="C322" s="267"/>
      <c r="E322" s="266"/>
      <c r="F322" s="266"/>
      <c r="G322" s="266"/>
    </row>
    <row r="323" spans="1:7" x14ac:dyDescent="0.25">
      <c r="A323" s="273"/>
      <c r="B323" s="277"/>
      <c r="C323" s="267"/>
      <c r="E323" s="266"/>
      <c r="F323" s="266"/>
      <c r="G323" s="266"/>
    </row>
    <row r="324" spans="1:7" x14ac:dyDescent="0.25">
      <c r="A324" s="273"/>
      <c r="B324" s="277"/>
      <c r="C324" s="267"/>
      <c r="E324" s="266"/>
      <c r="F324" s="266"/>
      <c r="G324" s="266"/>
    </row>
    <row r="325" spans="1:7" x14ac:dyDescent="0.25">
      <c r="A325" s="273"/>
      <c r="B325" s="277"/>
      <c r="C325" s="267"/>
      <c r="E325" s="266"/>
      <c r="F325" s="266"/>
      <c r="G325" s="266"/>
    </row>
    <row r="326" spans="1:7" x14ac:dyDescent="0.25">
      <c r="A326" s="273"/>
      <c r="B326" s="277"/>
      <c r="C326" s="267"/>
      <c r="E326" s="266"/>
      <c r="F326" s="266"/>
      <c r="G326" s="266"/>
    </row>
    <row r="327" spans="1:7" x14ac:dyDescent="0.25">
      <c r="A327" s="273"/>
      <c r="B327" s="277"/>
      <c r="C327" s="267"/>
      <c r="E327" s="266"/>
      <c r="F327" s="266"/>
      <c r="G327" s="266"/>
    </row>
    <row r="328" spans="1:7" x14ac:dyDescent="0.25">
      <c r="A328" s="273"/>
      <c r="B328" s="277"/>
      <c r="C328" s="267"/>
      <c r="E328" s="266"/>
      <c r="F328" s="266"/>
      <c r="G328" s="266"/>
    </row>
    <row r="329" spans="1:7" x14ac:dyDescent="0.25">
      <c r="A329" s="273"/>
      <c r="B329" s="277"/>
      <c r="C329" s="267"/>
      <c r="E329" s="266"/>
      <c r="F329" s="266"/>
      <c r="G329" s="266"/>
    </row>
    <row r="330" spans="1:7" x14ac:dyDescent="0.25">
      <c r="A330" s="273"/>
      <c r="B330" s="277"/>
      <c r="C330" s="267"/>
      <c r="E330" s="266"/>
      <c r="F330" s="266"/>
      <c r="G330" s="266"/>
    </row>
    <row r="331" spans="1:7" x14ac:dyDescent="0.25">
      <c r="A331" s="273"/>
      <c r="B331" s="277"/>
      <c r="C331" s="267"/>
      <c r="E331" s="266"/>
      <c r="F331" s="266"/>
      <c r="G331" s="266"/>
    </row>
    <row r="332" spans="1:7" x14ac:dyDescent="0.25">
      <c r="A332" s="273"/>
      <c r="B332" s="277"/>
      <c r="C332" s="267"/>
      <c r="E332" s="266"/>
      <c r="F332" s="266"/>
      <c r="G332" s="266"/>
    </row>
    <row r="333" spans="1:7" x14ac:dyDescent="0.25">
      <c r="A333" s="273"/>
      <c r="B333" s="277"/>
      <c r="C333" s="267"/>
      <c r="E333" s="266"/>
      <c r="F333" s="266"/>
      <c r="G333" s="266"/>
    </row>
    <row r="334" spans="1:7" x14ac:dyDescent="0.25">
      <c r="A334" s="273"/>
      <c r="B334" s="277"/>
      <c r="C334" s="267"/>
      <c r="E334" s="266"/>
      <c r="F334" s="266"/>
      <c r="G334" s="266"/>
    </row>
    <row r="335" spans="1:7" x14ac:dyDescent="0.25">
      <c r="A335" s="273"/>
      <c r="B335" s="277"/>
      <c r="C335" s="267"/>
      <c r="E335" s="266"/>
      <c r="F335" s="266"/>
      <c r="G335" s="266"/>
    </row>
    <row r="336" spans="1:7" x14ac:dyDescent="0.25">
      <c r="A336" s="273"/>
      <c r="B336" s="277"/>
      <c r="C336" s="267"/>
      <c r="E336" s="266"/>
      <c r="F336" s="266"/>
      <c r="G336" s="266"/>
    </row>
    <row r="337" spans="1:7" x14ac:dyDescent="0.25">
      <c r="A337" s="273"/>
      <c r="B337" s="277"/>
      <c r="C337" s="267"/>
      <c r="E337" s="266"/>
      <c r="F337" s="266"/>
      <c r="G337" s="266"/>
    </row>
    <row r="338" spans="1:7" x14ac:dyDescent="0.25">
      <c r="A338" s="273"/>
      <c r="B338" s="277"/>
      <c r="C338" s="267"/>
      <c r="E338" s="266"/>
      <c r="F338" s="266"/>
      <c r="G338" s="266"/>
    </row>
    <row r="339" spans="1:7" x14ac:dyDescent="0.25">
      <c r="A339" s="273"/>
      <c r="B339" s="277"/>
      <c r="C339" s="267"/>
      <c r="E339" s="266"/>
      <c r="F339" s="266"/>
      <c r="G339" s="266"/>
    </row>
    <row r="340" spans="1:7" x14ac:dyDescent="0.25">
      <c r="A340" s="273"/>
      <c r="B340" s="277"/>
      <c r="C340" s="267"/>
      <c r="E340" s="266"/>
      <c r="F340" s="266"/>
      <c r="G340" s="266"/>
    </row>
    <row r="341" spans="1:7" x14ac:dyDescent="0.25">
      <c r="A341" s="273"/>
      <c r="B341" s="277"/>
      <c r="C341" s="267"/>
      <c r="E341" s="266"/>
      <c r="F341" s="266"/>
      <c r="G341" s="266"/>
    </row>
    <row r="342" spans="1:7" x14ac:dyDescent="0.25">
      <c r="A342" s="273"/>
      <c r="B342" s="277"/>
      <c r="C342" s="267"/>
      <c r="E342" s="266"/>
      <c r="F342" s="266"/>
      <c r="G342" s="266"/>
    </row>
    <row r="343" spans="1:7" x14ac:dyDescent="0.25">
      <c r="A343" s="273"/>
      <c r="B343" s="277"/>
      <c r="C343" s="267"/>
      <c r="E343" s="266"/>
      <c r="F343" s="266"/>
      <c r="G343" s="266"/>
    </row>
    <row r="344" spans="1:7" x14ac:dyDescent="0.25">
      <c r="A344" s="273"/>
      <c r="B344" s="277"/>
      <c r="C344" s="267"/>
      <c r="E344" s="266"/>
      <c r="F344" s="266"/>
      <c r="G344" s="266"/>
    </row>
    <row r="345" spans="1:7" x14ac:dyDescent="0.25">
      <c r="A345" s="273"/>
      <c r="B345" s="277"/>
      <c r="C345" s="267"/>
      <c r="E345" s="266"/>
      <c r="F345" s="266"/>
      <c r="G345" s="266"/>
    </row>
    <row r="346" spans="1:7" x14ac:dyDescent="0.25">
      <c r="A346" s="273"/>
      <c r="B346" s="277"/>
      <c r="C346" s="267"/>
      <c r="E346" s="266"/>
      <c r="F346" s="266"/>
      <c r="G346" s="266"/>
    </row>
    <row r="347" spans="1:7" x14ac:dyDescent="0.25">
      <c r="A347" s="273"/>
      <c r="B347" s="277"/>
      <c r="C347" s="267"/>
      <c r="E347" s="266"/>
      <c r="F347" s="266"/>
      <c r="G347" s="266"/>
    </row>
    <row r="348" spans="1:7" x14ac:dyDescent="0.25">
      <c r="A348" s="273"/>
      <c r="B348" s="277"/>
      <c r="C348" s="267"/>
      <c r="E348" s="266"/>
      <c r="F348" s="266"/>
      <c r="G348" s="266"/>
    </row>
    <row r="349" spans="1:7" x14ac:dyDescent="0.25">
      <c r="A349" s="273"/>
      <c r="B349" s="277"/>
      <c r="C349" s="267"/>
      <c r="E349" s="266"/>
      <c r="F349" s="266"/>
      <c r="G349" s="266"/>
    </row>
    <row r="350" spans="1:7" x14ac:dyDescent="0.25">
      <c r="A350" s="273"/>
      <c r="B350" s="277"/>
      <c r="C350" s="267"/>
      <c r="E350" s="266"/>
      <c r="F350" s="266"/>
      <c r="G350" s="266"/>
    </row>
    <row r="351" spans="1:7" x14ac:dyDescent="0.25">
      <c r="A351" s="273"/>
      <c r="B351" s="277"/>
      <c r="C351" s="267"/>
      <c r="E351" s="266"/>
      <c r="F351" s="266"/>
      <c r="G351" s="266"/>
    </row>
    <row r="352" spans="1:7" x14ac:dyDescent="0.25">
      <c r="A352" s="273"/>
      <c r="B352" s="277"/>
      <c r="C352" s="267"/>
      <c r="E352" s="266"/>
      <c r="F352" s="266"/>
      <c r="G352" s="266"/>
    </row>
    <row r="353" spans="1:7" x14ac:dyDescent="0.25">
      <c r="A353" s="273"/>
      <c r="B353" s="277"/>
      <c r="C353" s="267"/>
      <c r="E353" s="266"/>
      <c r="F353" s="266"/>
      <c r="G353" s="266"/>
    </row>
    <row r="354" spans="1:7" x14ac:dyDescent="0.25">
      <c r="A354" s="273"/>
      <c r="B354" s="277"/>
      <c r="C354" s="267"/>
      <c r="E354" s="266"/>
      <c r="F354" s="266"/>
      <c r="G354" s="266"/>
    </row>
    <row r="355" spans="1:7" x14ac:dyDescent="0.25">
      <c r="A355" s="273"/>
      <c r="B355" s="277"/>
      <c r="C355" s="267"/>
      <c r="E355" s="266"/>
      <c r="F355" s="266"/>
      <c r="G355" s="266"/>
    </row>
    <row r="356" spans="1:7" x14ac:dyDescent="0.25">
      <c r="A356" s="273"/>
      <c r="B356" s="277"/>
      <c r="C356" s="267"/>
      <c r="E356" s="266"/>
      <c r="F356" s="266"/>
      <c r="G356" s="266"/>
    </row>
    <row r="357" spans="1:7" x14ac:dyDescent="0.25">
      <c r="A357" s="273"/>
      <c r="B357" s="277"/>
      <c r="C357" s="267"/>
      <c r="E357" s="266"/>
      <c r="F357" s="266"/>
      <c r="G357" s="266"/>
    </row>
    <row r="358" spans="1:7" x14ac:dyDescent="0.25">
      <c r="A358" s="273"/>
      <c r="B358" s="277"/>
      <c r="C358" s="267"/>
      <c r="E358" s="266"/>
      <c r="F358" s="266"/>
      <c r="G358" s="266"/>
    </row>
    <row r="359" spans="1:7" x14ac:dyDescent="0.25">
      <c r="A359" s="273"/>
      <c r="B359" s="277"/>
      <c r="C359" s="267"/>
      <c r="E359" s="266"/>
      <c r="F359" s="266"/>
      <c r="G359" s="266"/>
    </row>
    <row r="360" spans="1:7" x14ac:dyDescent="0.25">
      <c r="A360" s="273"/>
      <c r="B360" s="277"/>
      <c r="C360" s="267"/>
      <c r="E360" s="266"/>
      <c r="F360" s="266"/>
      <c r="G360" s="266"/>
    </row>
    <row r="361" spans="1:7" x14ac:dyDescent="0.25">
      <c r="A361" s="273"/>
      <c r="B361" s="277"/>
      <c r="C361" s="267"/>
      <c r="E361" s="266"/>
      <c r="F361" s="266"/>
      <c r="G361" s="266"/>
    </row>
    <row r="362" spans="1:7" x14ac:dyDescent="0.25">
      <c r="A362" s="273"/>
      <c r="B362" s="277"/>
      <c r="C362" s="267"/>
      <c r="E362" s="266"/>
      <c r="F362" s="266"/>
      <c r="G362" s="266"/>
    </row>
    <row r="363" spans="1:7" x14ac:dyDescent="0.25">
      <c r="A363" s="273"/>
      <c r="B363" s="277"/>
      <c r="C363" s="267"/>
      <c r="E363" s="266"/>
      <c r="F363" s="266"/>
      <c r="G363" s="266"/>
    </row>
    <row r="364" spans="1:7" x14ac:dyDescent="0.25">
      <c r="A364" s="273"/>
      <c r="B364" s="277"/>
      <c r="C364" s="267"/>
      <c r="E364" s="266"/>
      <c r="F364" s="266"/>
      <c r="G364" s="266"/>
    </row>
    <row r="365" spans="1:7" x14ac:dyDescent="0.25">
      <c r="A365" s="273"/>
      <c r="B365" s="277"/>
      <c r="C365" s="267"/>
      <c r="E365" s="266"/>
      <c r="F365" s="266"/>
      <c r="G365" s="266"/>
    </row>
    <row r="366" spans="1:7" x14ac:dyDescent="0.25">
      <c r="A366" s="273"/>
      <c r="B366" s="277"/>
      <c r="C366" s="267"/>
      <c r="E366" s="266"/>
      <c r="F366" s="266"/>
      <c r="G366" s="266"/>
    </row>
    <row r="367" spans="1:7" x14ac:dyDescent="0.25">
      <c r="A367" s="273"/>
      <c r="B367" s="277"/>
      <c r="C367" s="267"/>
      <c r="E367" s="266"/>
      <c r="F367" s="266"/>
      <c r="G367" s="266"/>
    </row>
    <row r="368" spans="1:7" x14ac:dyDescent="0.25">
      <c r="A368" s="273"/>
      <c r="B368" s="277"/>
      <c r="C368" s="267"/>
      <c r="E368" s="266"/>
      <c r="F368" s="266"/>
      <c r="G368" s="266"/>
    </row>
    <row r="369" spans="1:7" x14ac:dyDescent="0.25">
      <c r="A369" s="273"/>
      <c r="B369" s="277"/>
      <c r="C369" s="267"/>
      <c r="E369" s="266"/>
      <c r="F369" s="266"/>
      <c r="G369" s="266"/>
    </row>
    <row r="370" spans="1:7" x14ac:dyDescent="0.25">
      <c r="A370" s="273"/>
      <c r="B370" s="277"/>
      <c r="C370" s="267"/>
      <c r="E370" s="266"/>
      <c r="F370" s="266"/>
      <c r="G370" s="266"/>
    </row>
    <row r="371" spans="1:7" x14ac:dyDescent="0.25">
      <c r="A371" s="273"/>
      <c r="B371" s="277"/>
      <c r="C371" s="267"/>
      <c r="E371" s="266"/>
      <c r="F371" s="266"/>
      <c r="G371" s="266"/>
    </row>
    <row r="372" spans="1:7" x14ac:dyDescent="0.25">
      <c r="A372" s="273"/>
      <c r="B372" s="277"/>
      <c r="C372" s="267"/>
      <c r="E372" s="266"/>
      <c r="F372" s="266"/>
      <c r="G372" s="266"/>
    </row>
    <row r="373" spans="1:7" x14ac:dyDescent="0.25">
      <c r="A373" s="273"/>
      <c r="B373" s="277"/>
      <c r="C373" s="267"/>
      <c r="E373" s="266"/>
      <c r="F373" s="266"/>
      <c r="G373" s="266"/>
    </row>
    <row r="374" spans="1:7" x14ac:dyDescent="0.25">
      <c r="A374" s="273"/>
      <c r="B374" s="277"/>
      <c r="C374" s="267"/>
      <c r="E374" s="266"/>
      <c r="F374" s="266"/>
      <c r="G374" s="266"/>
    </row>
    <row r="375" spans="1:7" x14ac:dyDescent="0.25">
      <c r="A375" s="273"/>
      <c r="B375" s="277"/>
      <c r="C375" s="267"/>
      <c r="E375" s="266"/>
      <c r="F375" s="266"/>
      <c r="G375" s="266"/>
    </row>
    <row r="376" spans="1:7" x14ac:dyDescent="0.25">
      <c r="A376" s="273"/>
      <c r="B376" s="277"/>
      <c r="C376" s="267"/>
      <c r="E376" s="266"/>
      <c r="F376" s="266"/>
      <c r="G376" s="266"/>
    </row>
    <row r="377" spans="1:7" x14ac:dyDescent="0.25">
      <c r="A377" s="273"/>
      <c r="B377" s="277"/>
      <c r="C377" s="267"/>
      <c r="E377" s="266"/>
      <c r="F377" s="266"/>
      <c r="G377" s="266"/>
    </row>
    <row r="378" spans="1:7" x14ac:dyDescent="0.25">
      <c r="A378" s="273"/>
      <c r="B378" s="277"/>
      <c r="C378" s="267"/>
      <c r="E378" s="266"/>
      <c r="F378" s="266"/>
      <c r="G378" s="266"/>
    </row>
    <row r="379" spans="1:7" x14ac:dyDescent="0.25">
      <c r="A379" s="273"/>
      <c r="B379" s="277"/>
      <c r="C379" s="267"/>
      <c r="E379" s="266"/>
      <c r="F379" s="266"/>
      <c r="G379" s="266"/>
    </row>
    <row r="380" spans="1:7" x14ac:dyDescent="0.25">
      <c r="A380" s="273"/>
      <c r="B380" s="277"/>
      <c r="C380" s="267"/>
      <c r="E380" s="266"/>
      <c r="F380" s="266"/>
      <c r="G380" s="266"/>
    </row>
    <row r="381" spans="1:7" x14ac:dyDescent="0.25">
      <c r="A381" s="273"/>
      <c r="B381" s="277"/>
      <c r="C381" s="267"/>
      <c r="E381" s="266"/>
      <c r="F381" s="266"/>
      <c r="G381" s="266"/>
    </row>
    <row r="382" spans="1:7" x14ac:dyDescent="0.25">
      <c r="A382" s="273"/>
      <c r="B382" s="277"/>
      <c r="C382" s="267"/>
      <c r="E382" s="266"/>
      <c r="F382" s="266"/>
      <c r="G382" s="266"/>
    </row>
    <row r="383" spans="1:7" x14ac:dyDescent="0.25">
      <c r="A383" s="273"/>
      <c r="B383" s="277"/>
      <c r="C383" s="267"/>
      <c r="E383" s="266"/>
      <c r="F383" s="266"/>
      <c r="G383" s="266"/>
    </row>
    <row r="384" spans="1:7" x14ac:dyDescent="0.25">
      <c r="A384" s="273"/>
      <c r="B384" s="277"/>
      <c r="C384" s="267"/>
      <c r="E384" s="266"/>
      <c r="F384" s="266"/>
      <c r="G384" s="266"/>
    </row>
    <row r="385" spans="1:7" x14ac:dyDescent="0.25">
      <c r="A385" s="273"/>
      <c r="B385" s="277"/>
      <c r="C385" s="267"/>
      <c r="E385" s="266"/>
      <c r="F385" s="266"/>
      <c r="G385" s="266"/>
    </row>
    <row r="386" spans="1:7" x14ac:dyDescent="0.25">
      <c r="A386" s="273"/>
      <c r="B386" s="277"/>
      <c r="C386" s="267"/>
      <c r="E386" s="266"/>
      <c r="F386" s="266"/>
      <c r="G386" s="266"/>
    </row>
    <row r="387" spans="1:7" x14ac:dyDescent="0.25">
      <c r="A387" s="273"/>
      <c r="B387" s="277"/>
      <c r="C387" s="267"/>
      <c r="E387" s="266"/>
      <c r="F387" s="266"/>
      <c r="G387" s="266"/>
    </row>
    <row r="388" spans="1:7" x14ac:dyDescent="0.25">
      <c r="A388" s="273"/>
      <c r="B388" s="277"/>
      <c r="C388" s="267"/>
      <c r="E388" s="266"/>
      <c r="F388" s="266"/>
      <c r="G388" s="266"/>
    </row>
    <row r="389" spans="1:7" x14ac:dyDescent="0.25">
      <c r="A389" s="273"/>
      <c r="B389" s="277"/>
      <c r="C389" s="267"/>
      <c r="E389" s="266"/>
      <c r="F389" s="266"/>
      <c r="G389" s="266"/>
    </row>
    <row r="390" spans="1:7" x14ac:dyDescent="0.25">
      <c r="A390" s="273"/>
      <c r="B390" s="277"/>
      <c r="C390" s="267"/>
      <c r="E390" s="266"/>
      <c r="F390" s="266"/>
      <c r="G390" s="266"/>
    </row>
    <row r="391" spans="1:7" x14ac:dyDescent="0.25">
      <c r="A391" s="273"/>
      <c r="B391" s="277"/>
      <c r="C391" s="267"/>
      <c r="E391" s="266"/>
      <c r="F391" s="266"/>
      <c r="G391" s="266"/>
    </row>
    <row r="392" spans="1:7" x14ac:dyDescent="0.25">
      <c r="A392" s="273"/>
      <c r="B392" s="277"/>
      <c r="C392" s="267"/>
      <c r="E392" s="266"/>
      <c r="F392" s="266"/>
      <c r="G392" s="266"/>
    </row>
    <row r="393" spans="1:7" x14ac:dyDescent="0.25">
      <c r="A393" s="273"/>
      <c r="B393" s="277"/>
      <c r="C393" s="267"/>
      <c r="E393" s="266"/>
      <c r="F393" s="266"/>
      <c r="G393" s="266"/>
    </row>
    <row r="394" spans="1:7" x14ac:dyDescent="0.25">
      <c r="A394" s="273"/>
      <c r="B394" s="277"/>
      <c r="C394" s="267"/>
      <c r="E394" s="266"/>
      <c r="F394" s="266"/>
      <c r="G394" s="266"/>
    </row>
    <row r="395" spans="1:7" x14ac:dyDescent="0.25">
      <c r="A395" s="273"/>
      <c r="B395" s="277"/>
      <c r="C395" s="267"/>
      <c r="E395" s="266"/>
      <c r="F395" s="266"/>
      <c r="G395" s="266"/>
    </row>
    <row r="396" spans="1:7" x14ac:dyDescent="0.25">
      <c r="A396" s="273"/>
      <c r="B396" s="277"/>
      <c r="C396" s="267"/>
      <c r="E396" s="266"/>
      <c r="F396" s="266"/>
      <c r="G396" s="266"/>
    </row>
    <row r="397" spans="1:7" x14ac:dyDescent="0.25">
      <c r="A397" s="273"/>
      <c r="B397" s="277"/>
      <c r="C397" s="267"/>
      <c r="E397" s="266"/>
      <c r="F397" s="266"/>
      <c r="G397" s="266"/>
    </row>
    <row r="398" spans="1:7" x14ac:dyDescent="0.25">
      <c r="A398" s="273"/>
      <c r="B398" s="277"/>
      <c r="C398" s="267"/>
      <c r="E398" s="266"/>
      <c r="F398" s="266"/>
      <c r="G398" s="266"/>
    </row>
    <row r="399" spans="1:7" x14ac:dyDescent="0.25">
      <c r="A399" s="273"/>
      <c r="B399" s="277"/>
      <c r="C399" s="267"/>
      <c r="E399" s="266"/>
      <c r="F399" s="266"/>
      <c r="G399" s="266"/>
    </row>
    <row r="400" spans="1:7" x14ac:dyDescent="0.25">
      <c r="A400" s="273"/>
      <c r="B400" s="277"/>
      <c r="C400" s="267"/>
      <c r="E400" s="266"/>
      <c r="F400" s="266"/>
      <c r="G400" s="266"/>
    </row>
    <row r="401" spans="1:7" x14ac:dyDescent="0.25">
      <c r="A401" s="273"/>
      <c r="B401" s="277"/>
      <c r="C401" s="267"/>
      <c r="E401" s="266"/>
      <c r="F401" s="266"/>
      <c r="G401" s="266"/>
    </row>
    <row r="402" spans="1:7" x14ac:dyDescent="0.25">
      <c r="A402" s="273"/>
      <c r="B402" s="277"/>
      <c r="C402" s="267"/>
      <c r="E402" s="266"/>
      <c r="F402" s="266"/>
      <c r="G402" s="266"/>
    </row>
    <row r="403" spans="1:7" x14ac:dyDescent="0.25">
      <c r="A403" s="273"/>
      <c r="B403" s="277"/>
      <c r="C403" s="267"/>
      <c r="E403" s="266"/>
      <c r="F403" s="266"/>
      <c r="G403" s="266"/>
    </row>
    <row r="404" spans="1:7" x14ac:dyDescent="0.25">
      <c r="A404" s="273"/>
      <c r="B404" s="277"/>
      <c r="C404" s="267"/>
      <c r="E404" s="266"/>
      <c r="F404" s="266"/>
      <c r="G404" s="266"/>
    </row>
    <row r="405" spans="1:7" x14ac:dyDescent="0.25">
      <c r="A405" s="273"/>
      <c r="B405" s="277"/>
      <c r="C405" s="267"/>
      <c r="E405" s="266"/>
      <c r="F405" s="266"/>
      <c r="G405" s="266"/>
    </row>
    <row r="406" spans="1:7" x14ac:dyDescent="0.25">
      <c r="A406" s="273"/>
      <c r="B406" s="277"/>
      <c r="C406" s="267"/>
      <c r="E406" s="266"/>
      <c r="F406" s="266"/>
      <c r="G406" s="266"/>
    </row>
    <row r="407" spans="1:7" x14ac:dyDescent="0.25">
      <c r="A407" s="273"/>
      <c r="B407" s="277"/>
      <c r="C407" s="267"/>
      <c r="E407" s="266"/>
      <c r="F407" s="266"/>
      <c r="G407" s="266"/>
    </row>
    <row r="408" spans="1:7" x14ac:dyDescent="0.25">
      <c r="A408" s="273"/>
      <c r="B408" s="277"/>
      <c r="C408" s="267"/>
      <c r="E408" s="266"/>
      <c r="F408" s="266"/>
      <c r="G408" s="266"/>
    </row>
    <row r="409" spans="1:7" x14ac:dyDescent="0.25">
      <c r="A409" s="273"/>
      <c r="B409" s="277"/>
      <c r="C409" s="267"/>
      <c r="E409" s="266"/>
      <c r="F409" s="266"/>
      <c r="G409" s="266"/>
    </row>
    <row r="410" spans="1:7" x14ac:dyDescent="0.25">
      <c r="A410" s="273"/>
      <c r="B410" s="277"/>
      <c r="C410" s="267"/>
      <c r="E410" s="266"/>
      <c r="F410" s="266"/>
      <c r="G410" s="266"/>
    </row>
    <row r="411" spans="1:7" x14ac:dyDescent="0.25">
      <c r="A411" s="273"/>
      <c r="B411" s="277"/>
      <c r="C411" s="267"/>
      <c r="E411" s="266"/>
      <c r="F411" s="266"/>
      <c r="G411" s="266"/>
    </row>
    <row r="412" spans="1:7" x14ac:dyDescent="0.25">
      <c r="A412" s="273"/>
      <c r="B412" s="277"/>
      <c r="C412" s="267"/>
      <c r="E412" s="266"/>
      <c r="F412" s="266"/>
      <c r="G412" s="266"/>
    </row>
    <row r="413" spans="1:7" x14ac:dyDescent="0.25">
      <c r="A413" s="273"/>
      <c r="B413" s="277"/>
      <c r="C413" s="267"/>
      <c r="E413" s="266"/>
      <c r="F413" s="266"/>
      <c r="G413" s="266"/>
    </row>
    <row r="414" spans="1:7" x14ac:dyDescent="0.25">
      <c r="A414" s="273"/>
      <c r="B414" s="277"/>
      <c r="C414" s="267"/>
      <c r="E414" s="266"/>
      <c r="F414" s="266"/>
      <c r="G414" s="266"/>
    </row>
    <row r="415" spans="1:7" x14ac:dyDescent="0.25">
      <c r="A415" s="273"/>
      <c r="B415" s="277"/>
      <c r="C415" s="267"/>
      <c r="E415" s="266"/>
      <c r="F415" s="266"/>
      <c r="G415" s="266"/>
    </row>
    <row r="416" spans="1:7" x14ac:dyDescent="0.25">
      <c r="A416" s="273"/>
      <c r="B416" s="277"/>
      <c r="C416" s="267"/>
      <c r="E416" s="266"/>
      <c r="F416" s="266"/>
      <c r="G416" s="266"/>
    </row>
    <row r="417" spans="1:7" x14ac:dyDescent="0.25">
      <c r="A417" s="273"/>
      <c r="B417" s="277"/>
      <c r="C417" s="267"/>
      <c r="E417" s="266"/>
      <c r="F417" s="266"/>
      <c r="G417" s="266"/>
    </row>
    <row r="418" spans="1:7" x14ac:dyDescent="0.25">
      <c r="A418" s="273"/>
      <c r="B418" s="277"/>
      <c r="C418" s="267"/>
      <c r="E418" s="266"/>
      <c r="F418" s="266"/>
      <c r="G418" s="266"/>
    </row>
    <row r="419" spans="1:7" x14ac:dyDescent="0.25">
      <c r="A419" s="273"/>
      <c r="B419" s="277"/>
      <c r="C419" s="267"/>
      <c r="E419" s="266"/>
      <c r="F419" s="266"/>
      <c r="G419" s="266"/>
    </row>
    <row r="420" spans="1:7" x14ac:dyDescent="0.25">
      <c r="A420" s="273"/>
      <c r="B420" s="277"/>
      <c r="C420" s="267"/>
      <c r="E420" s="266"/>
      <c r="F420" s="266"/>
      <c r="G420" s="266"/>
    </row>
    <row r="421" spans="1:7" x14ac:dyDescent="0.25">
      <c r="A421" s="273"/>
      <c r="B421" s="277"/>
      <c r="C421" s="267"/>
      <c r="E421" s="266"/>
      <c r="F421" s="266"/>
      <c r="G421" s="266"/>
    </row>
    <row r="422" spans="1:7" x14ac:dyDescent="0.25">
      <c r="A422" s="273"/>
      <c r="B422" s="277"/>
      <c r="C422" s="267"/>
      <c r="E422" s="266"/>
      <c r="F422" s="266"/>
      <c r="G422" s="266"/>
    </row>
    <row r="423" spans="1:7" x14ac:dyDescent="0.25">
      <c r="A423" s="273"/>
      <c r="B423" s="277"/>
      <c r="C423" s="267"/>
      <c r="E423" s="266"/>
      <c r="F423" s="266"/>
      <c r="G423" s="266"/>
    </row>
    <row r="424" spans="1:7" x14ac:dyDescent="0.25">
      <c r="A424" s="273"/>
      <c r="B424" s="277"/>
      <c r="C424" s="267"/>
      <c r="E424" s="266"/>
      <c r="F424" s="266"/>
      <c r="G424" s="266"/>
    </row>
    <row r="425" spans="1:7" x14ac:dyDescent="0.25">
      <c r="A425" s="273"/>
      <c r="B425" s="277"/>
      <c r="C425" s="267"/>
      <c r="E425" s="266"/>
      <c r="F425" s="266"/>
      <c r="G425" s="266"/>
    </row>
    <row r="426" spans="1:7" x14ac:dyDescent="0.25">
      <c r="A426" s="273"/>
      <c r="B426" s="277"/>
      <c r="C426" s="267"/>
      <c r="E426" s="266"/>
      <c r="F426" s="266"/>
      <c r="G426" s="266"/>
    </row>
    <row r="427" spans="1:7" x14ac:dyDescent="0.25">
      <c r="A427" s="273"/>
      <c r="B427" s="277"/>
      <c r="C427" s="267"/>
      <c r="E427" s="266"/>
      <c r="F427" s="266"/>
      <c r="G427" s="266"/>
    </row>
    <row r="428" spans="1:7" x14ac:dyDescent="0.25">
      <c r="A428" s="273"/>
      <c r="B428" s="277"/>
      <c r="C428" s="267"/>
      <c r="E428" s="266"/>
      <c r="F428" s="266"/>
      <c r="G428" s="266"/>
    </row>
    <row r="429" spans="1:7" x14ac:dyDescent="0.25">
      <c r="A429" s="273"/>
      <c r="B429" s="277"/>
      <c r="C429" s="267"/>
      <c r="E429" s="266"/>
      <c r="F429" s="266"/>
      <c r="G429" s="266"/>
    </row>
    <row r="430" spans="1:7" x14ac:dyDescent="0.25">
      <c r="A430" s="273"/>
      <c r="B430" s="277"/>
      <c r="C430" s="267"/>
      <c r="E430" s="266"/>
      <c r="F430" s="266"/>
      <c r="G430" s="266"/>
    </row>
    <row r="431" spans="1:7" x14ac:dyDescent="0.25">
      <c r="A431" s="273"/>
      <c r="B431" s="277"/>
      <c r="C431" s="267"/>
      <c r="E431" s="266"/>
      <c r="F431" s="266"/>
      <c r="G431" s="266"/>
    </row>
    <row r="432" spans="1:7" x14ac:dyDescent="0.25">
      <c r="A432" s="273"/>
      <c r="B432" s="277"/>
      <c r="C432" s="267"/>
      <c r="E432" s="266"/>
      <c r="F432" s="266"/>
      <c r="G432" s="266"/>
    </row>
    <row r="433" spans="1:7" x14ac:dyDescent="0.25">
      <c r="A433" s="273"/>
      <c r="B433" s="277"/>
      <c r="C433" s="267"/>
      <c r="E433" s="266"/>
      <c r="F433" s="266"/>
      <c r="G433" s="266"/>
    </row>
    <row r="434" spans="1:7" x14ac:dyDescent="0.25">
      <c r="A434" s="273"/>
      <c r="B434" s="277"/>
      <c r="C434" s="267"/>
      <c r="E434" s="266"/>
      <c r="F434" s="266"/>
      <c r="G434" s="266"/>
    </row>
    <row r="435" spans="1:7" x14ac:dyDescent="0.25">
      <c r="A435" s="273"/>
      <c r="B435" s="277"/>
      <c r="C435" s="267"/>
      <c r="E435" s="266"/>
      <c r="F435" s="266"/>
      <c r="G435" s="266"/>
    </row>
    <row r="436" spans="1:7" x14ac:dyDescent="0.25">
      <c r="A436" s="273"/>
      <c r="B436" s="277"/>
      <c r="C436" s="267"/>
      <c r="E436" s="266"/>
      <c r="F436" s="266"/>
      <c r="G436" s="266"/>
    </row>
    <row r="437" spans="1:7" x14ac:dyDescent="0.25">
      <c r="A437" s="273"/>
      <c r="B437" s="277"/>
      <c r="C437" s="267"/>
      <c r="E437" s="266"/>
      <c r="F437" s="266"/>
      <c r="G437" s="266"/>
    </row>
    <row r="438" spans="1:7" x14ac:dyDescent="0.25">
      <c r="A438" s="273"/>
      <c r="B438" s="277"/>
      <c r="C438" s="267"/>
      <c r="E438" s="266"/>
      <c r="F438" s="266"/>
      <c r="G438" s="266"/>
    </row>
    <row r="439" spans="1:7" x14ac:dyDescent="0.25">
      <c r="A439" s="273"/>
      <c r="B439" s="277"/>
      <c r="C439" s="267"/>
      <c r="E439" s="266"/>
      <c r="F439" s="266"/>
      <c r="G439" s="266"/>
    </row>
    <row r="440" spans="1:7" x14ac:dyDescent="0.25">
      <c r="A440" s="273"/>
      <c r="B440" s="277"/>
      <c r="C440" s="267"/>
      <c r="E440" s="266"/>
      <c r="F440" s="266"/>
      <c r="G440" s="266"/>
    </row>
    <row r="441" spans="1:7" x14ac:dyDescent="0.25">
      <c r="A441" s="273"/>
      <c r="B441" s="277"/>
      <c r="C441" s="267"/>
      <c r="E441" s="266"/>
      <c r="F441" s="266"/>
      <c r="G441" s="266"/>
    </row>
    <row r="442" spans="1:7" x14ac:dyDescent="0.25">
      <c r="A442" s="273"/>
      <c r="B442" s="277"/>
      <c r="C442" s="267"/>
      <c r="E442" s="266"/>
      <c r="F442" s="266"/>
      <c r="G442" s="266"/>
    </row>
    <row r="443" spans="1:7" x14ac:dyDescent="0.25">
      <c r="A443" s="273"/>
      <c r="B443" s="277"/>
      <c r="C443" s="267"/>
      <c r="E443" s="266"/>
      <c r="F443" s="266"/>
      <c r="G443" s="266"/>
    </row>
    <row r="444" spans="1:7" x14ac:dyDescent="0.25">
      <c r="A444" s="273"/>
      <c r="B444" s="277"/>
      <c r="C444" s="267"/>
      <c r="E444" s="266"/>
      <c r="F444" s="266"/>
      <c r="G444" s="266"/>
    </row>
    <row r="445" spans="1:7" x14ac:dyDescent="0.25">
      <c r="A445" s="273"/>
      <c r="B445" s="277"/>
      <c r="C445" s="267"/>
      <c r="E445" s="266"/>
      <c r="F445" s="266"/>
      <c r="G445" s="266"/>
    </row>
    <row r="446" spans="1:7" x14ac:dyDescent="0.25">
      <c r="A446" s="273"/>
      <c r="B446" s="277"/>
      <c r="C446" s="267"/>
      <c r="E446" s="266"/>
      <c r="F446" s="266"/>
      <c r="G446" s="266"/>
    </row>
    <row r="447" spans="1:7" x14ac:dyDescent="0.25">
      <c r="A447" s="273"/>
      <c r="B447" s="277"/>
      <c r="C447" s="267"/>
      <c r="E447" s="266"/>
      <c r="F447" s="266"/>
      <c r="G447" s="266"/>
    </row>
    <row r="448" spans="1:7" x14ac:dyDescent="0.25">
      <c r="A448" s="273"/>
      <c r="B448" s="277"/>
      <c r="C448" s="267"/>
      <c r="E448" s="266"/>
      <c r="F448" s="266"/>
      <c r="G448" s="266"/>
    </row>
    <row r="449" spans="1:7" x14ac:dyDescent="0.25">
      <c r="A449" s="273"/>
      <c r="B449" s="277"/>
      <c r="C449" s="267"/>
      <c r="E449" s="266"/>
      <c r="F449" s="266"/>
      <c r="G449" s="266"/>
    </row>
    <row r="450" spans="1:7" x14ac:dyDescent="0.25">
      <c r="A450" s="273"/>
      <c r="B450" s="277"/>
      <c r="C450" s="267"/>
      <c r="E450" s="266"/>
      <c r="F450" s="266"/>
      <c r="G450" s="266"/>
    </row>
    <row r="451" spans="1:7" x14ac:dyDescent="0.25">
      <c r="A451" s="273"/>
      <c r="B451" s="277"/>
      <c r="C451" s="267"/>
      <c r="E451" s="266"/>
      <c r="F451" s="266"/>
      <c r="G451" s="266"/>
    </row>
    <row r="452" spans="1:7" x14ac:dyDescent="0.25">
      <c r="A452" s="273"/>
      <c r="B452" s="277"/>
      <c r="C452" s="267"/>
      <c r="E452" s="266"/>
      <c r="F452" s="266"/>
      <c r="G452" s="266"/>
    </row>
    <row r="453" spans="1:7" x14ac:dyDescent="0.25">
      <c r="A453" s="273"/>
      <c r="B453" s="277"/>
      <c r="C453" s="267"/>
      <c r="E453" s="266"/>
      <c r="F453" s="266"/>
      <c r="G453" s="266"/>
    </row>
    <row r="454" spans="1:7" x14ac:dyDescent="0.25">
      <c r="A454" s="273"/>
      <c r="B454" s="277"/>
      <c r="C454" s="267"/>
      <c r="E454" s="266"/>
      <c r="F454" s="266"/>
      <c r="G454" s="266"/>
    </row>
    <row r="455" spans="1:7" x14ac:dyDescent="0.25">
      <c r="A455" s="273"/>
      <c r="B455" s="277"/>
      <c r="C455" s="267"/>
      <c r="E455" s="266"/>
      <c r="F455" s="266"/>
      <c r="G455" s="266"/>
    </row>
    <row r="456" spans="1:7" x14ac:dyDescent="0.25">
      <c r="A456" s="273"/>
      <c r="B456" s="277"/>
      <c r="C456" s="267"/>
      <c r="E456" s="266"/>
      <c r="F456" s="266"/>
      <c r="G456" s="266"/>
    </row>
    <row r="457" spans="1:7" x14ac:dyDescent="0.25">
      <c r="A457" s="273"/>
      <c r="B457" s="277"/>
      <c r="C457" s="267"/>
      <c r="E457" s="266"/>
      <c r="F457" s="266"/>
      <c r="G457" s="266"/>
    </row>
    <row r="458" spans="1:7" x14ac:dyDescent="0.25">
      <c r="A458" s="273"/>
      <c r="B458" s="277"/>
      <c r="C458" s="267"/>
      <c r="E458" s="266"/>
      <c r="F458" s="266"/>
      <c r="G458" s="266"/>
    </row>
    <row r="459" spans="1:7" x14ac:dyDescent="0.25">
      <c r="A459" s="273"/>
      <c r="B459" s="277"/>
      <c r="C459" s="267"/>
      <c r="E459" s="266"/>
      <c r="F459" s="266"/>
      <c r="G459" s="266"/>
    </row>
    <row r="460" spans="1:7" x14ac:dyDescent="0.25">
      <c r="A460" s="273"/>
      <c r="B460" s="277"/>
      <c r="C460" s="267"/>
      <c r="E460" s="266"/>
      <c r="F460" s="266"/>
      <c r="G460" s="266"/>
    </row>
    <row r="461" spans="1:7" x14ac:dyDescent="0.25">
      <c r="A461" s="273"/>
      <c r="B461" s="277"/>
      <c r="C461" s="267"/>
      <c r="E461" s="266"/>
      <c r="F461" s="266"/>
      <c r="G461" s="266"/>
    </row>
    <row r="462" spans="1:7" x14ac:dyDescent="0.25">
      <c r="A462" s="273"/>
      <c r="B462" s="277"/>
      <c r="C462" s="267"/>
      <c r="E462" s="266"/>
      <c r="F462" s="266"/>
      <c r="G462" s="266"/>
    </row>
    <row r="463" spans="1:7" x14ac:dyDescent="0.25">
      <c r="A463" s="273"/>
      <c r="B463" s="277"/>
      <c r="C463" s="267"/>
      <c r="E463" s="266"/>
      <c r="F463" s="266"/>
      <c r="G463" s="266"/>
    </row>
    <row r="464" spans="1:7" x14ac:dyDescent="0.25">
      <c r="A464" s="273"/>
      <c r="B464" s="277"/>
      <c r="C464" s="267"/>
      <c r="E464" s="266"/>
      <c r="F464" s="266"/>
      <c r="G464" s="266"/>
    </row>
    <row r="465" spans="1:7" x14ac:dyDescent="0.25">
      <c r="A465" s="273"/>
      <c r="B465" s="277"/>
      <c r="C465" s="267"/>
      <c r="E465" s="266"/>
      <c r="F465" s="266"/>
      <c r="G465" s="266"/>
    </row>
    <row r="466" spans="1:7" x14ac:dyDescent="0.25">
      <c r="A466" s="273"/>
      <c r="B466" s="277"/>
      <c r="C466" s="267"/>
      <c r="E466" s="266"/>
      <c r="F466" s="266"/>
      <c r="G466" s="266"/>
    </row>
    <row r="467" spans="1:7" x14ac:dyDescent="0.25">
      <c r="A467" s="273"/>
      <c r="B467" s="277"/>
      <c r="C467" s="267"/>
      <c r="E467" s="266"/>
      <c r="F467" s="266"/>
      <c r="G467" s="266"/>
    </row>
    <row r="468" spans="1:7" x14ac:dyDescent="0.25">
      <c r="A468" s="273"/>
      <c r="B468" s="277"/>
      <c r="C468" s="267"/>
      <c r="E468" s="266"/>
      <c r="F468" s="266"/>
      <c r="G468" s="266"/>
    </row>
    <row r="469" spans="1:7" x14ac:dyDescent="0.25">
      <c r="A469" s="273"/>
      <c r="B469" s="277"/>
      <c r="C469" s="267"/>
      <c r="E469" s="266"/>
      <c r="F469" s="266"/>
      <c r="G469" s="266"/>
    </row>
    <row r="470" spans="1:7" x14ac:dyDescent="0.25">
      <c r="A470" s="273"/>
      <c r="B470" s="277"/>
      <c r="C470" s="267"/>
      <c r="E470" s="266"/>
      <c r="F470" s="266"/>
      <c r="G470" s="266"/>
    </row>
    <row r="471" spans="1:7" x14ac:dyDescent="0.25">
      <c r="A471" s="273"/>
      <c r="B471" s="277"/>
      <c r="C471" s="267"/>
      <c r="E471" s="266"/>
      <c r="F471" s="266"/>
      <c r="G471" s="266"/>
    </row>
    <row r="472" spans="1:7" x14ac:dyDescent="0.25">
      <c r="A472" s="273"/>
      <c r="B472" s="277"/>
      <c r="C472" s="267"/>
      <c r="E472" s="266"/>
      <c r="F472" s="266"/>
      <c r="G472" s="266"/>
    </row>
    <row r="473" spans="1:7" x14ac:dyDescent="0.25">
      <c r="A473" s="273"/>
      <c r="B473" s="277"/>
      <c r="C473" s="267"/>
      <c r="E473" s="266"/>
      <c r="F473" s="266"/>
      <c r="G473" s="266"/>
    </row>
    <row r="474" spans="1:7" x14ac:dyDescent="0.25">
      <c r="A474" s="273"/>
      <c r="B474" s="277"/>
      <c r="C474" s="267"/>
      <c r="E474" s="266"/>
      <c r="F474" s="266"/>
      <c r="G474" s="266"/>
    </row>
    <row r="475" spans="1:7" x14ac:dyDescent="0.25">
      <c r="A475" s="273"/>
      <c r="B475" s="277"/>
      <c r="C475" s="267"/>
      <c r="E475" s="266"/>
      <c r="F475" s="266"/>
      <c r="G475" s="266"/>
    </row>
    <row r="476" spans="1:7" x14ac:dyDescent="0.25">
      <c r="A476" s="273"/>
      <c r="B476" s="277"/>
      <c r="C476" s="267"/>
      <c r="E476" s="266"/>
      <c r="F476" s="266"/>
      <c r="G476" s="266"/>
    </row>
    <row r="477" spans="1:7" x14ac:dyDescent="0.25">
      <c r="A477" s="273"/>
      <c r="B477" s="277"/>
      <c r="C477" s="267"/>
      <c r="E477" s="266"/>
      <c r="F477" s="266"/>
      <c r="G477" s="266"/>
    </row>
    <row r="478" spans="1:7" x14ac:dyDescent="0.25">
      <c r="A478" s="273"/>
      <c r="B478" s="277"/>
      <c r="C478" s="267"/>
      <c r="E478" s="266"/>
      <c r="F478" s="266"/>
      <c r="G478" s="266"/>
    </row>
    <row r="479" spans="1:7" x14ac:dyDescent="0.25">
      <c r="A479" s="273"/>
      <c r="B479" s="277"/>
      <c r="C479" s="267"/>
      <c r="E479" s="266"/>
      <c r="F479" s="266"/>
      <c r="G479" s="266"/>
    </row>
    <row r="480" spans="1:7" x14ac:dyDescent="0.25">
      <c r="A480" s="273"/>
      <c r="B480" s="277"/>
      <c r="C480" s="267"/>
      <c r="E480" s="266"/>
      <c r="F480" s="266"/>
      <c r="G480" s="266"/>
    </row>
    <row r="481" spans="1:7" x14ac:dyDescent="0.25">
      <c r="A481" s="273"/>
      <c r="B481" s="277"/>
      <c r="C481" s="267"/>
      <c r="E481" s="266"/>
      <c r="F481" s="266"/>
      <c r="G481" s="266"/>
    </row>
    <row r="482" spans="1:7" x14ac:dyDescent="0.25">
      <c r="A482" s="273"/>
      <c r="B482" s="277"/>
      <c r="C482" s="267"/>
      <c r="E482" s="266"/>
      <c r="F482" s="266"/>
      <c r="G482" s="266"/>
    </row>
    <row r="483" spans="1:7" x14ac:dyDescent="0.25">
      <c r="A483" s="273"/>
      <c r="B483" s="277"/>
      <c r="C483" s="267"/>
      <c r="E483" s="266"/>
      <c r="F483" s="266"/>
      <c r="G483" s="266"/>
    </row>
    <row r="484" spans="1:7" x14ac:dyDescent="0.25">
      <c r="A484" s="273"/>
      <c r="B484" s="277"/>
      <c r="C484" s="267"/>
      <c r="E484" s="266"/>
      <c r="F484" s="266"/>
      <c r="G484" s="266"/>
    </row>
    <row r="485" spans="1:7" x14ac:dyDescent="0.25">
      <c r="A485" s="273"/>
      <c r="B485" s="277"/>
      <c r="C485" s="267"/>
      <c r="E485" s="266"/>
      <c r="F485" s="266"/>
      <c r="G485" s="266"/>
    </row>
    <row r="486" spans="1:7" x14ac:dyDescent="0.25">
      <c r="A486" s="273"/>
      <c r="B486" s="277"/>
      <c r="C486" s="267"/>
      <c r="E486" s="266"/>
      <c r="F486" s="266"/>
      <c r="G486" s="266"/>
    </row>
    <row r="487" spans="1:7" x14ac:dyDescent="0.25">
      <c r="A487" s="273"/>
      <c r="B487" s="277"/>
      <c r="C487" s="267"/>
      <c r="E487" s="266"/>
      <c r="F487" s="266"/>
      <c r="G487" s="266"/>
    </row>
    <row r="488" spans="1:7" x14ac:dyDescent="0.25">
      <c r="A488" s="273"/>
      <c r="B488" s="277"/>
      <c r="C488" s="267"/>
      <c r="E488" s="266"/>
      <c r="F488" s="266"/>
      <c r="G488" s="266"/>
    </row>
    <row r="489" spans="1:7" x14ac:dyDescent="0.25">
      <c r="A489" s="273"/>
      <c r="B489" s="277"/>
      <c r="C489" s="267"/>
      <c r="E489" s="266"/>
      <c r="F489" s="266"/>
      <c r="G489" s="266"/>
    </row>
    <row r="490" spans="1:7" x14ac:dyDescent="0.25">
      <c r="A490" s="273"/>
      <c r="B490" s="277"/>
      <c r="C490" s="267"/>
      <c r="E490" s="266"/>
      <c r="F490" s="266"/>
      <c r="G490" s="266"/>
    </row>
    <row r="491" spans="1:7" x14ac:dyDescent="0.25">
      <c r="A491" s="273"/>
      <c r="B491" s="277"/>
      <c r="C491" s="267"/>
      <c r="E491" s="266"/>
      <c r="F491" s="266"/>
      <c r="G491" s="266"/>
    </row>
    <row r="492" spans="1:7" x14ac:dyDescent="0.25">
      <c r="A492" s="273"/>
      <c r="B492" s="277"/>
      <c r="C492" s="267"/>
      <c r="E492" s="266"/>
      <c r="F492" s="266"/>
      <c r="G492" s="266"/>
    </row>
    <row r="493" spans="1:7" x14ac:dyDescent="0.25">
      <c r="A493" s="273"/>
      <c r="B493" s="277"/>
      <c r="C493" s="267"/>
      <c r="E493" s="266"/>
      <c r="F493" s="266"/>
      <c r="G493" s="266"/>
    </row>
    <row r="494" spans="1:7" x14ac:dyDescent="0.25">
      <c r="A494" s="273"/>
      <c r="B494" s="277"/>
      <c r="C494" s="267"/>
      <c r="E494" s="266"/>
      <c r="F494" s="266"/>
      <c r="G494" s="266"/>
    </row>
    <row r="495" spans="1:7" x14ac:dyDescent="0.25">
      <c r="A495" s="273"/>
      <c r="B495" s="277"/>
      <c r="C495" s="267"/>
      <c r="E495" s="266"/>
      <c r="F495" s="266"/>
      <c r="G495" s="266"/>
    </row>
    <row r="496" spans="1:7" x14ac:dyDescent="0.25">
      <c r="A496" s="273"/>
      <c r="B496" s="277"/>
      <c r="C496" s="267"/>
      <c r="E496" s="266"/>
      <c r="F496" s="266"/>
      <c r="G496" s="266"/>
    </row>
    <row r="497" spans="1:7" x14ac:dyDescent="0.25">
      <c r="A497" s="273"/>
      <c r="B497" s="277"/>
      <c r="C497" s="267"/>
      <c r="E497" s="266"/>
      <c r="F497" s="266"/>
      <c r="G497" s="266"/>
    </row>
    <row r="498" spans="1:7" x14ac:dyDescent="0.25">
      <c r="A498" s="273"/>
      <c r="B498" s="277"/>
      <c r="C498" s="267"/>
      <c r="E498" s="266"/>
      <c r="F498" s="266"/>
      <c r="G498" s="266"/>
    </row>
    <row r="499" spans="1:7" x14ac:dyDescent="0.25">
      <c r="A499" s="273"/>
      <c r="B499" s="277"/>
      <c r="C499" s="267"/>
      <c r="E499" s="266"/>
      <c r="F499" s="266"/>
      <c r="G499" s="266"/>
    </row>
    <row r="500" spans="1:7" x14ac:dyDescent="0.25">
      <c r="A500" s="273"/>
      <c r="B500" s="277"/>
      <c r="C500" s="267"/>
      <c r="E500" s="266"/>
      <c r="F500" s="266"/>
      <c r="G500" s="266"/>
    </row>
    <row r="501" spans="1:7" x14ac:dyDescent="0.25">
      <c r="A501" s="273"/>
      <c r="B501" s="277"/>
      <c r="C501" s="267"/>
      <c r="E501" s="266"/>
      <c r="F501" s="266"/>
      <c r="G501" s="266"/>
    </row>
    <row r="502" spans="1:7" x14ac:dyDescent="0.25">
      <c r="A502" s="273"/>
      <c r="B502" s="277"/>
      <c r="C502" s="267"/>
      <c r="E502" s="266"/>
      <c r="F502" s="266"/>
      <c r="G502" s="266"/>
    </row>
    <row r="503" spans="1:7" x14ac:dyDescent="0.25">
      <c r="A503" s="273"/>
      <c r="B503" s="277"/>
      <c r="C503" s="267"/>
      <c r="E503" s="266"/>
      <c r="F503" s="266"/>
      <c r="G503" s="266"/>
    </row>
    <row r="504" spans="1:7" x14ac:dyDescent="0.25">
      <c r="A504" s="273"/>
      <c r="B504" s="277"/>
      <c r="C504" s="267"/>
      <c r="E504" s="266"/>
      <c r="F504" s="266"/>
      <c r="G504" s="266"/>
    </row>
    <row r="505" spans="1:7" x14ac:dyDescent="0.25">
      <c r="A505" s="273"/>
      <c r="B505" s="277"/>
      <c r="C505" s="267"/>
      <c r="E505" s="266"/>
      <c r="F505" s="266"/>
      <c r="G505" s="266"/>
    </row>
    <row r="506" spans="1:7" x14ac:dyDescent="0.25">
      <c r="A506" s="273"/>
      <c r="B506" s="277"/>
      <c r="C506" s="267"/>
      <c r="E506" s="266"/>
      <c r="F506" s="266"/>
      <c r="G506" s="266"/>
    </row>
    <row r="507" spans="1:7" x14ac:dyDescent="0.25">
      <c r="A507" s="273"/>
      <c r="B507" s="277"/>
      <c r="C507" s="267"/>
      <c r="E507" s="266"/>
      <c r="F507" s="266"/>
      <c r="G507" s="266"/>
    </row>
    <row r="508" spans="1:7" x14ac:dyDescent="0.25">
      <c r="A508" s="273"/>
      <c r="B508" s="277"/>
      <c r="C508" s="267"/>
      <c r="E508" s="266"/>
      <c r="F508" s="266"/>
      <c r="G508" s="266"/>
    </row>
    <row r="509" spans="1:7" x14ac:dyDescent="0.25">
      <c r="A509" s="273"/>
      <c r="B509" s="277"/>
      <c r="C509" s="267"/>
      <c r="E509" s="266"/>
      <c r="F509" s="266"/>
      <c r="G509" s="266"/>
    </row>
    <row r="510" spans="1:7" x14ac:dyDescent="0.25">
      <c r="A510" s="273"/>
      <c r="B510" s="277"/>
      <c r="C510" s="267"/>
      <c r="E510" s="266"/>
      <c r="F510" s="266"/>
      <c r="G510" s="266"/>
    </row>
    <row r="511" spans="1:7" x14ac:dyDescent="0.25">
      <c r="A511" s="273"/>
      <c r="B511" s="277"/>
      <c r="C511" s="267"/>
      <c r="E511" s="266"/>
      <c r="F511" s="266"/>
      <c r="G511" s="266"/>
    </row>
    <row r="512" spans="1:7" x14ac:dyDescent="0.25">
      <c r="A512" s="273"/>
      <c r="B512" s="277"/>
      <c r="C512" s="267"/>
      <c r="E512" s="266"/>
      <c r="F512" s="266"/>
      <c r="G512" s="266"/>
    </row>
    <row r="513" spans="1:7" x14ac:dyDescent="0.25">
      <c r="A513" s="273"/>
      <c r="B513" s="277"/>
      <c r="C513" s="267"/>
      <c r="E513" s="266"/>
      <c r="F513" s="266"/>
      <c r="G513" s="266"/>
    </row>
    <row r="514" spans="1:7" x14ac:dyDescent="0.25">
      <c r="A514" s="273"/>
      <c r="B514" s="277"/>
      <c r="C514" s="267"/>
      <c r="E514" s="266"/>
      <c r="F514" s="266"/>
      <c r="G514" s="266"/>
    </row>
    <row r="515" spans="1:7" x14ac:dyDescent="0.25">
      <c r="A515" s="273"/>
      <c r="B515" s="277"/>
      <c r="C515" s="267"/>
      <c r="E515" s="266"/>
      <c r="F515" s="266"/>
      <c r="G515" s="266"/>
    </row>
    <row r="516" spans="1:7" x14ac:dyDescent="0.25">
      <c r="A516" s="273"/>
      <c r="B516" s="277"/>
      <c r="C516" s="267"/>
      <c r="E516" s="266"/>
      <c r="F516" s="266"/>
      <c r="G516" s="266"/>
    </row>
    <row r="517" spans="1:7" x14ac:dyDescent="0.25">
      <c r="A517" s="273"/>
      <c r="B517" s="277"/>
      <c r="C517" s="267"/>
      <c r="E517" s="266"/>
      <c r="F517" s="266"/>
      <c r="G517" s="266"/>
    </row>
    <row r="518" spans="1:7" x14ac:dyDescent="0.25">
      <c r="A518" s="273"/>
      <c r="B518" s="277"/>
      <c r="C518" s="267"/>
      <c r="E518" s="266"/>
      <c r="F518" s="266"/>
      <c r="G518" s="266"/>
    </row>
    <row r="519" spans="1:7" x14ac:dyDescent="0.25">
      <c r="A519" s="273"/>
      <c r="B519" s="277"/>
      <c r="C519" s="267"/>
      <c r="E519" s="266"/>
      <c r="F519" s="266"/>
      <c r="G519" s="266"/>
    </row>
    <row r="520" spans="1:7" x14ac:dyDescent="0.25">
      <c r="A520" s="273"/>
      <c r="B520" s="277"/>
      <c r="C520" s="267"/>
      <c r="E520" s="266"/>
      <c r="F520" s="266"/>
      <c r="G520" s="266"/>
    </row>
    <row r="521" spans="1:7" x14ac:dyDescent="0.25">
      <c r="A521" s="273"/>
      <c r="B521" s="277"/>
      <c r="C521" s="267"/>
      <c r="E521" s="266"/>
      <c r="F521" s="266"/>
      <c r="G521" s="266"/>
    </row>
    <row r="522" spans="1:7" x14ac:dyDescent="0.25">
      <c r="A522" s="273"/>
      <c r="B522" s="277"/>
      <c r="C522" s="267"/>
      <c r="E522" s="266"/>
      <c r="F522" s="266"/>
      <c r="G522" s="266"/>
    </row>
    <row r="523" spans="1:7" x14ac:dyDescent="0.25">
      <c r="A523" s="273"/>
      <c r="B523" s="277"/>
      <c r="C523" s="267"/>
      <c r="E523" s="266"/>
      <c r="F523" s="266"/>
      <c r="G523" s="266"/>
    </row>
    <row r="524" spans="1:7" x14ac:dyDescent="0.25">
      <c r="A524" s="273"/>
      <c r="B524" s="277"/>
      <c r="C524" s="267"/>
      <c r="E524" s="266"/>
      <c r="F524" s="266"/>
      <c r="G524" s="266"/>
    </row>
    <row r="525" spans="1:7" x14ac:dyDescent="0.25">
      <c r="A525" s="273"/>
      <c r="B525" s="277"/>
      <c r="C525" s="267"/>
      <c r="E525" s="266"/>
      <c r="F525" s="266"/>
      <c r="G525" s="266"/>
    </row>
    <row r="526" spans="1:7" x14ac:dyDescent="0.25">
      <c r="A526" s="273"/>
      <c r="B526" s="277"/>
      <c r="C526" s="267"/>
      <c r="E526" s="266"/>
      <c r="F526" s="266"/>
      <c r="G526" s="266"/>
    </row>
    <row r="527" spans="1:7" x14ac:dyDescent="0.25">
      <c r="A527" s="273"/>
      <c r="B527" s="277"/>
      <c r="C527" s="267"/>
      <c r="E527" s="266"/>
      <c r="F527" s="266"/>
      <c r="G527" s="266"/>
    </row>
    <row r="528" spans="1:7" x14ac:dyDescent="0.25">
      <c r="A528" s="273"/>
      <c r="B528" s="277"/>
      <c r="C528" s="267"/>
      <c r="E528" s="266"/>
      <c r="F528" s="266"/>
      <c r="G528" s="266"/>
    </row>
    <row r="529" spans="1:7" x14ac:dyDescent="0.25">
      <c r="A529" s="273"/>
      <c r="B529" s="277"/>
      <c r="C529" s="267"/>
      <c r="E529" s="266"/>
      <c r="F529" s="266"/>
      <c r="G529" s="266"/>
    </row>
    <row r="530" spans="1:7" x14ac:dyDescent="0.25">
      <c r="A530" s="273"/>
      <c r="B530" s="277"/>
      <c r="C530" s="267"/>
      <c r="E530" s="266"/>
      <c r="F530" s="266"/>
      <c r="G530" s="266"/>
    </row>
    <row r="531" spans="1:7" x14ac:dyDescent="0.25">
      <c r="A531" s="273"/>
      <c r="B531" s="277"/>
      <c r="C531" s="267"/>
      <c r="E531" s="266"/>
      <c r="F531" s="266"/>
      <c r="G531" s="266"/>
    </row>
    <row r="532" spans="1:7" x14ac:dyDescent="0.25">
      <c r="A532" s="273"/>
      <c r="B532" s="277"/>
      <c r="C532" s="267"/>
      <c r="E532" s="266"/>
      <c r="F532" s="266"/>
      <c r="G532" s="266"/>
    </row>
    <row r="533" spans="1:7" x14ac:dyDescent="0.25">
      <c r="A533" s="273"/>
      <c r="B533" s="277"/>
      <c r="C533" s="267"/>
      <c r="E533" s="266"/>
      <c r="F533" s="266"/>
      <c r="G533" s="266"/>
    </row>
    <row r="534" spans="1:7" x14ac:dyDescent="0.25">
      <c r="A534" s="273"/>
      <c r="B534" s="277"/>
      <c r="C534" s="267"/>
      <c r="E534" s="266"/>
      <c r="F534" s="266"/>
      <c r="G534" s="266"/>
    </row>
    <row r="535" spans="1:7" x14ac:dyDescent="0.25">
      <c r="A535" s="273"/>
      <c r="B535" s="277"/>
      <c r="C535" s="267"/>
      <c r="E535" s="266"/>
      <c r="F535" s="266"/>
      <c r="G535" s="266"/>
    </row>
    <row r="536" spans="1:7" x14ac:dyDescent="0.25">
      <c r="A536" s="273"/>
      <c r="B536" s="277"/>
      <c r="C536" s="267"/>
      <c r="E536" s="266"/>
      <c r="F536" s="266"/>
      <c r="G536" s="266"/>
    </row>
    <row r="537" spans="1:7" x14ac:dyDescent="0.25">
      <c r="A537" s="273"/>
      <c r="B537" s="277"/>
      <c r="C537" s="267"/>
      <c r="E537" s="266"/>
      <c r="F537" s="266"/>
      <c r="G537" s="266"/>
    </row>
    <row r="538" spans="1:7" x14ac:dyDescent="0.25">
      <c r="A538" s="273"/>
      <c r="B538" s="277"/>
      <c r="C538" s="267"/>
      <c r="E538" s="266"/>
      <c r="F538" s="266"/>
      <c r="G538" s="266"/>
    </row>
    <row r="539" spans="1:7" x14ac:dyDescent="0.25">
      <c r="A539" s="273"/>
      <c r="B539" s="277"/>
      <c r="C539" s="267"/>
      <c r="E539" s="266"/>
      <c r="F539" s="266"/>
      <c r="G539" s="266"/>
    </row>
    <row r="540" spans="1:7" x14ac:dyDescent="0.25">
      <c r="A540" s="273"/>
      <c r="B540" s="277"/>
      <c r="C540" s="267"/>
      <c r="E540" s="266"/>
      <c r="F540" s="266"/>
      <c r="G540" s="266"/>
    </row>
    <row r="541" spans="1:7" x14ac:dyDescent="0.25">
      <c r="A541" s="273"/>
      <c r="B541" s="277"/>
      <c r="C541" s="267"/>
      <c r="E541" s="266"/>
      <c r="F541" s="266"/>
      <c r="G541" s="266"/>
    </row>
    <row r="542" spans="1:7" x14ac:dyDescent="0.25">
      <c r="A542" s="273"/>
      <c r="B542" s="277"/>
      <c r="C542" s="267"/>
      <c r="E542" s="266"/>
      <c r="F542" s="266"/>
      <c r="G542" s="266"/>
    </row>
    <row r="543" spans="1:7" x14ac:dyDescent="0.25">
      <c r="A543" s="273"/>
      <c r="B543" s="277"/>
      <c r="C543" s="267"/>
      <c r="E543" s="266"/>
      <c r="F543" s="266"/>
      <c r="G543" s="266"/>
    </row>
    <row r="544" spans="1:7" x14ac:dyDescent="0.25">
      <c r="A544" s="273"/>
      <c r="B544" s="277"/>
      <c r="C544" s="267"/>
      <c r="E544" s="266"/>
      <c r="F544" s="266"/>
      <c r="G544" s="266"/>
    </row>
    <row r="545" spans="1:7" x14ac:dyDescent="0.25">
      <c r="A545" s="273"/>
      <c r="B545" s="277"/>
      <c r="C545" s="267"/>
      <c r="E545" s="266"/>
      <c r="F545" s="266"/>
      <c r="G545" s="266"/>
    </row>
    <row r="546" spans="1:7" x14ac:dyDescent="0.25">
      <c r="A546" s="273"/>
      <c r="B546" s="277"/>
      <c r="C546" s="267"/>
      <c r="E546" s="266"/>
      <c r="F546" s="266"/>
      <c r="G546" s="266"/>
    </row>
    <row r="547" spans="1:7" x14ac:dyDescent="0.25">
      <c r="A547" s="273"/>
      <c r="B547" s="277"/>
      <c r="C547" s="267"/>
      <c r="E547" s="266"/>
      <c r="F547" s="266"/>
      <c r="G547" s="266"/>
    </row>
    <row r="548" spans="1:7" x14ac:dyDescent="0.25">
      <c r="A548" s="273"/>
      <c r="B548" s="277"/>
      <c r="C548" s="267"/>
      <c r="E548" s="266"/>
      <c r="F548" s="266"/>
      <c r="G548" s="266"/>
    </row>
    <row r="549" spans="1:7" x14ac:dyDescent="0.25">
      <c r="A549" s="273"/>
      <c r="B549" s="277"/>
      <c r="C549" s="267"/>
      <c r="E549" s="266"/>
      <c r="F549" s="266"/>
      <c r="G549" s="266"/>
    </row>
    <row r="550" spans="1:7" x14ac:dyDescent="0.25">
      <c r="A550" s="273"/>
      <c r="B550" s="277"/>
      <c r="C550" s="267"/>
      <c r="E550" s="266"/>
      <c r="F550" s="266"/>
      <c r="G550" s="266"/>
    </row>
    <row r="551" spans="1:7" x14ac:dyDescent="0.25">
      <c r="A551" s="273"/>
      <c r="B551" s="277"/>
      <c r="C551" s="267"/>
      <c r="E551" s="266"/>
      <c r="F551" s="266"/>
      <c r="G551" s="266"/>
    </row>
    <row r="552" spans="1:7" x14ac:dyDescent="0.25">
      <c r="A552" s="273"/>
      <c r="B552" s="277"/>
      <c r="C552" s="267"/>
      <c r="E552" s="266"/>
      <c r="F552" s="266"/>
      <c r="G552" s="266"/>
    </row>
    <row r="553" spans="1:7" x14ac:dyDescent="0.25">
      <c r="A553" s="273"/>
      <c r="B553" s="277"/>
      <c r="C553" s="267"/>
      <c r="E553" s="266"/>
      <c r="F553" s="266"/>
      <c r="G553" s="266"/>
    </row>
    <row r="554" spans="1:7" x14ac:dyDescent="0.25">
      <c r="A554" s="273"/>
      <c r="B554" s="277"/>
      <c r="C554" s="267"/>
      <c r="E554" s="266"/>
      <c r="F554" s="266"/>
      <c r="G554" s="266"/>
    </row>
    <row r="555" spans="1:7" x14ac:dyDescent="0.25">
      <c r="A555" s="273"/>
      <c r="B555" s="277"/>
      <c r="C555" s="267"/>
      <c r="E555" s="266"/>
      <c r="F555" s="266"/>
      <c r="G555" s="266"/>
    </row>
    <row r="556" spans="1:7" x14ac:dyDescent="0.25">
      <c r="A556" s="273"/>
      <c r="B556" s="277"/>
      <c r="C556" s="267"/>
      <c r="E556" s="266"/>
      <c r="F556" s="266"/>
      <c r="G556" s="266"/>
    </row>
    <row r="557" spans="1:7" x14ac:dyDescent="0.25">
      <c r="A557" s="273"/>
      <c r="B557" s="277"/>
      <c r="C557" s="267"/>
      <c r="E557" s="266"/>
      <c r="F557" s="266"/>
      <c r="G557" s="266"/>
    </row>
    <row r="558" spans="1:7" x14ac:dyDescent="0.25">
      <c r="A558" s="273"/>
      <c r="B558" s="277"/>
      <c r="C558" s="267"/>
      <c r="E558" s="266"/>
      <c r="F558" s="266"/>
      <c r="G558" s="266"/>
    </row>
    <row r="559" spans="1:7" x14ac:dyDescent="0.25">
      <c r="A559" s="273"/>
      <c r="B559" s="277"/>
      <c r="C559" s="267"/>
      <c r="E559" s="266"/>
      <c r="F559" s="266"/>
      <c r="G559" s="266"/>
    </row>
    <row r="560" spans="1:7" x14ac:dyDescent="0.25">
      <c r="A560" s="273"/>
      <c r="B560" s="277"/>
      <c r="C560" s="267"/>
      <c r="E560" s="266"/>
      <c r="F560" s="266"/>
      <c r="G560" s="266"/>
    </row>
    <row r="561" spans="1:7" x14ac:dyDescent="0.25">
      <c r="A561" s="273"/>
      <c r="B561" s="277"/>
      <c r="C561" s="267"/>
      <c r="E561" s="266"/>
      <c r="F561" s="266"/>
      <c r="G561" s="266"/>
    </row>
    <row r="562" spans="1:7" x14ac:dyDescent="0.25">
      <c r="A562" s="273"/>
      <c r="B562" s="277"/>
      <c r="C562" s="267"/>
      <c r="E562" s="266"/>
      <c r="F562" s="266"/>
      <c r="G562" s="266"/>
    </row>
    <row r="563" spans="1:7" x14ac:dyDescent="0.25">
      <c r="A563" s="273"/>
      <c r="B563" s="277"/>
      <c r="C563" s="267"/>
      <c r="E563" s="266"/>
      <c r="F563" s="266"/>
      <c r="G563" s="266"/>
    </row>
    <row r="564" spans="1:7" x14ac:dyDescent="0.25">
      <c r="A564" s="273"/>
      <c r="B564" s="277"/>
      <c r="C564" s="267"/>
      <c r="E564" s="266"/>
      <c r="F564" s="266"/>
      <c r="G564" s="266"/>
    </row>
    <row r="565" spans="1:7" x14ac:dyDescent="0.25">
      <c r="A565" s="273"/>
      <c r="B565" s="277"/>
      <c r="C565" s="267"/>
      <c r="E565" s="266"/>
      <c r="F565" s="266"/>
      <c r="G565" s="266"/>
    </row>
    <row r="566" spans="1:7" x14ac:dyDescent="0.25">
      <c r="A566" s="273"/>
      <c r="B566" s="277"/>
      <c r="C566" s="267"/>
      <c r="E566" s="266"/>
      <c r="F566" s="266"/>
      <c r="G566" s="266"/>
    </row>
    <row r="567" spans="1:7" x14ac:dyDescent="0.25">
      <c r="A567" s="273"/>
      <c r="B567" s="277"/>
      <c r="C567" s="267"/>
      <c r="E567" s="266"/>
      <c r="F567" s="266"/>
      <c r="G567" s="266"/>
    </row>
    <row r="568" spans="1:7" x14ac:dyDescent="0.25">
      <c r="A568" s="273"/>
      <c r="B568" s="277"/>
      <c r="C568" s="267"/>
      <c r="E568" s="266"/>
      <c r="F568" s="266"/>
      <c r="G568" s="266"/>
    </row>
    <row r="569" spans="1:7" x14ac:dyDescent="0.25">
      <c r="A569" s="273"/>
      <c r="B569" s="277"/>
      <c r="C569" s="267"/>
      <c r="E569" s="266"/>
      <c r="F569" s="266"/>
      <c r="G569" s="266"/>
    </row>
    <row r="570" spans="1:7" x14ac:dyDescent="0.25">
      <c r="A570" s="273"/>
      <c r="B570" s="277"/>
      <c r="C570" s="267"/>
      <c r="E570" s="266"/>
      <c r="F570" s="266"/>
      <c r="G570" s="266"/>
    </row>
    <row r="571" spans="1:7" x14ac:dyDescent="0.25">
      <c r="A571" s="273"/>
      <c r="B571" s="277"/>
      <c r="C571" s="267"/>
      <c r="E571" s="266"/>
      <c r="F571" s="266"/>
      <c r="G571" s="266"/>
    </row>
    <row r="572" spans="1:7" x14ac:dyDescent="0.25">
      <c r="A572" s="273"/>
      <c r="B572" s="277"/>
      <c r="C572" s="267"/>
      <c r="E572" s="266"/>
      <c r="F572" s="266"/>
      <c r="G572" s="266"/>
    </row>
    <row r="573" spans="1:7" x14ac:dyDescent="0.25">
      <c r="A573" s="273"/>
      <c r="B573" s="277"/>
      <c r="C573" s="267"/>
      <c r="E573" s="266"/>
      <c r="F573" s="266"/>
      <c r="G573" s="266"/>
    </row>
    <row r="574" spans="1:7" x14ac:dyDescent="0.25">
      <c r="A574" s="273"/>
      <c r="B574" s="277"/>
      <c r="C574" s="267"/>
      <c r="E574" s="266"/>
      <c r="F574" s="266"/>
      <c r="G574" s="266"/>
    </row>
    <row r="575" spans="1:7" x14ac:dyDescent="0.25">
      <c r="A575" s="273"/>
      <c r="B575" s="277"/>
      <c r="C575" s="267"/>
      <c r="E575" s="266"/>
      <c r="F575" s="266"/>
      <c r="G575" s="266"/>
    </row>
    <row r="576" spans="1:7" x14ac:dyDescent="0.25">
      <c r="A576" s="273"/>
      <c r="B576" s="277"/>
      <c r="C576" s="267"/>
      <c r="E576" s="266"/>
      <c r="F576" s="266"/>
      <c r="G576" s="266"/>
    </row>
    <row r="577" spans="1:7" x14ac:dyDescent="0.25">
      <c r="A577" s="273"/>
      <c r="B577" s="277"/>
      <c r="C577" s="267"/>
      <c r="E577" s="266"/>
      <c r="F577" s="266"/>
      <c r="G577" s="266"/>
    </row>
    <row r="578" spans="1:7" x14ac:dyDescent="0.25">
      <c r="A578" s="273"/>
      <c r="B578" s="277"/>
      <c r="C578" s="267"/>
      <c r="E578" s="266"/>
      <c r="F578" s="266"/>
      <c r="G578" s="266"/>
    </row>
    <row r="579" spans="1:7" x14ac:dyDescent="0.25">
      <c r="A579" s="273"/>
      <c r="B579" s="277"/>
      <c r="C579" s="267"/>
      <c r="E579" s="266"/>
      <c r="F579" s="266"/>
      <c r="G579" s="266"/>
    </row>
    <row r="580" spans="1:7" x14ac:dyDescent="0.25">
      <c r="A580" s="273"/>
      <c r="B580" s="277"/>
      <c r="C580" s="267"/>
      <c r="E580" s="266"/>
      <c r="F580" s="266"/>
      <c r="G580" s="266"/>
    </row>
    <row r="581" spans="1:7" x14ac:dyDescent="0.25">
      <c r="A581" s="273"/>
      <c r="B581" s="277"/>
      <c r="C581" s="267"/>
      <c r="E581" s="266"/>
      <c r="F581" s="266"/>
      <c r="G581" s="266"/>
    </row>
    <row r="582" spans="1:7" x14ac:dyDescent="0.25">
      <c r="A582" s="273"/>
      <c r="B582" s="277"/>
      <c r="C582" s="267"/>
      <c r="E582" s="266"/>
      <c r="F582" s="266"/>
      <c r="G582" s="266"/>
    </row>
    <row r="583" spans="1:7" x14ac:dyDescent="0.25">
      <c r="A583" s="273"/>
      <c r="B583" s="277"/>
      <c r="C583" s="267"/>
      <c r="E583" s="266"/>
      <c r="F583" s="266"/>
      <c r="G583" s="266"/>
    </row>
    <row r="584" spans="1:7" x14ac:dyDescent="0.25">
      <c r="A584" s="273"/>
      <c r="B584" s="277"/>
      <c r="C584" s="267"/>
      <c r="E584" s="266"/>
      <c r="F584" s="266"/>
      <c r="G584" s="266"/>
    </row>
    <row r="585" spans="1:7" x14ac:dyDescent="0.25">
      <c r="A585" s="273"/>
      <c r="B585" s="277"/>
      <c r="C585" s="267"/>
      <c r="E585" s="266"/>
      <c r="F585" s="266"/>
      <c r="G585" s="266"/>
    </row>
    <row r="586" spans="1:7" x14ac:dyDescent="0.25">
      <c r="A586" s="273"/>
      <c r="B586" s="277"/>
      <c r="C586" s="267"/>
      <c r="E586" s="266"/>
      <c r="F586" s="266"/>
      <c r="G586" s="266"/>
    </row>
    <row r="587" spans="1:7" x14ac:dyDescent="0.25">
      <c r="A587" s="273"/>
      <c r="B587" s="277"/>
      <c r="C587" s="267"/>
      <c r="E587" s="266"/>
      <c r="F587" s="266"/>
      <c r="G587" s="266"/>
    </row>
    <row r="588" spans="1:7" x14ac:dyDescent="0.25">
      <c r="A588" s="273"/>
      <c r="B588" s="277"/>
      <c r="C588" s="267"/>
      <c r="E588" s="266"/>
      <c r="F588" s="266"/>
      <c r="G588" s="266"/>
    </row>
    <row r="589" spans="1:7" x14ac:dyDescent="0.25">
      <c r="A589" s="273"/>
      <c r="B589" s="277"/>
      <c r="C589" s="267"/>
      <c r="E589" s="266"/>
      <c r="F589" s="266"/>
      <c r="G589" s="266"/>
    </row>
    <row r="590" spans="1:7" x14ac:dyDescent="0.25">
      <c r="A590" s="273"/>
      <c r="B590" s="277"/>
      <c r="C590" s="267"/>
      <c r="E590" s="266"/>
      <c r="F590" s="266"/>
      <c r="G590" s="266"/>
    </row>
    <row r="591" spans="1:7" x14ac:dyDescent="0.25">
      <c r="A591" s="273"/>
      <c r="B591" s="277"/>
      <c r="C591" s="267"/>
      <c r="E591" s="266"/>
      <c r="F591" s="266"/>
      <c r="G591" s="266"/>
    </row>
    <row r="592" spans="1:7" x14ac:dyDescent="0.25">
      <c r="A592" s="273"/>
      <c r="B592" s="277"/>
      <c r="C592" s="267"/>
      <c r="E592" s="266"/>
      <c r="F592" s="266"/>
      <c r="G592" s="266"/>
    </row>
    <row r="593" spans="1:7" x14ac:dyDescent="0.25">
      <c r="A593" s="273"/>
      <c r="B593" s="277"/>
      <c r="C593" s="267"/>
      <c r="E593" s="266"/>
      <c r="F593" s="266"/>
      <c r="G593" s="266"/>
    </row>
    <row r="594" spans="1:7" x14ac:dyDescent="0.25">
      <c r="A594" s="273"/>
      <c r="B594" s="277"/>
      <c r="C594" s="267"/>
      <c r="E594" s="266"/>
      <c r="F594" s="266"/>
      <c r="G594" s="266"/>
    </row>
    <row r="595" spans="1:7" x14ac:dyDescent="0.25">
      <c r="A595" s="273"/>
      <c r="B595" s="277"/>
      <c r="C595" s="267"/>
      <c r="E595" s="266"/>
      <c r="F595" s="266"/>
      <c r="G595" s="266"/>
    </row>
    <row r="596" spans="1:7" x14ac:dyDescent="0.25">
      <c r="A596" s="273"/>
      <c r="B596" s="277"/>
      <c r="C596" s="267"/>
      <c r="E596" s="266"/>
      <c r="F596" s="266"/>
      <c r="G596" s="266"/>
    </row>
    <row r="597" spans="1:7" x14ac:dyDescent="0.25">
      <c r="A597" s="273"/>
      <c r="B597" s="277"/>
      <c r="C597" s="267"/>
      <c r="E597" s="266"/>
      <c r="F597" s="266"/>
      <c r="G597" s="266"/>
    </row>
    <row r="598" spans="1:7" x14ac:dyDescent="0.25">
      <c r="A598" s="273"/>
      <c r="B598" s="277"/>
      <c r="C598" s="267"/>
      <c r="E598" s="266"/>
      <c r="F598" s="266"/>
      <c r="G598" s="266"/>
    </row>
    <row r="599" spans="1:7" x14ac:dyDescent="0.25">
      <c r="A599" s="273"/>
      <c r="B599" s="277"/>
      <c r="C599" s="267"/>
      <c r="E599" s="266"/>
      <c r="F599" s="266"/>
      <c r="G599" s="266"/>
    </row>
    <row r="600" spans="1:7" x14ac:dyDescent="0.25">
      <c r="A600" s="273"/>
      <c r="B600" s="277"/>
      <c r="C600" s="267"/>
      <c r="E600" s="266"/>
      <c r="F600" s="266"/>
      <c r="G600" s="266"/>
    </row>
    <row r="601" spans="1:7" x14ac:dyDescent="0.25">
      <c r="A601" s="273"/>
      <c r="B601" s="277"/>
      <c r="C601" s="267"/>
      <c r="E601" s="266"/>
      <c r="F601" s="266"/>
      <c r="G601" s="266"/>
    </row>
    <row r="602" spans="1:7" x14ac:dyDescent="0.25">
      <c r="A602" s="273"/>
      <c r="B602" s="277"/>
      <c r="C602" s="267"/>
      <c r="E602" s="266"/>
      <c r="F602" s="266"/>
      <c r="G602" s="266"/>
    </row>
    <row r="603" spans="1:7" x14ac:dyDescent="0.25">
      <c r="A603" s="273"/>
      <c r="B603" s="277"/>
      <c r="C603" s="267"/>
      <c r="E603" s="266"/>
      <c r="F603" s="266"/>
      <c r="G603" s="266"/>
    </row>
    <row r="604" spans="1:7" x14ac:dyDescent="0.25">
      <c r="A604" s="273"/>
      <c r="B604" s="277"/>
      <c r="C604" s="267"/>
      <c r="E604" s="266"/>
      <c r="F604" s="266"/>
      <c r="G604" s="266"/>
    </row>
    <row r="605" spans="1:7" x14ac:dyDescent="0.25">
      <c r="A605" s="273"/>
      <c r="B605" s="277"/>
      <c r="C605" s="267"/>
      <c r="E605" s="266"/>
      <c r="F605" s="266"/>
      <c r="G605" s="266"/>
    </row>
    <row r="606" spans="1:7" x14ac:dyDescent="0.25">
      <c r="A606" s="273"/>
      <c r="B606" s="277"/>
      <c r="C606" s="267"/>
      <c r="E606" s="266"/>
      <c r="F606" s="266"/>
      <c r="G606" s="266"/>
    </row>
    <row r="607" spans="1:7" x14ac:dyDescent="0.25">
      <c r="A607" s="273"/>
      <c r="B607" s="277"/>
      <c r="C607" s="267"/>
      <c r="E607" s="266"/>
      <c r="F607" s="266"/>
      <c r="G607" s="266"/>
    </row>
    <row r="608" spans="1:7" x14ac:dyDescent="0.25">
      <c r="A608" s="273"/>
      <c r="B608" s="277"/>
      <c r="C608" s="267"/>
      <c r="E608" s="266"/>
      <c r="F608" s="266"/>
      <c r="G608" s="266"/>
    </row>
    <row r="609" spans="1:7" x14ac:dyDescent="0.25">
      <c r="A609" s="273"/>
      <c r="B609" s="277"/>
      <c r="C609" s="267"/>
      <c r="E609" s="266"/>
      <c r="F609" s="266"/>
      <c r="G609" s="266"/>
    </row>
    <row r="610" spans="1:7" x14ac:dyDescent="0.25">
      <c r="A610" s="273"/>
      <c r="B610" s="277"/>
      <c r="C610" s="267"/>
      <c r="E610" s="266"/>
      <c r="F610" s="266"/>
      <c r="G610" s="266"/>
    </row>
    <row r="611" spans="1:7" x14ac:dyDescent="0.25">
      <c r="A611" s="273"/>
      <c r="B611" s="277"/>
      <c r="C611" s="267"/>
      <c r="E611" s="266"/>
      <c r="F611" s="266"/>
      <c r="G611" s="266"/>
    </row>
    <row r="612" spans="1:7" x14ac:dyDescent="0.25">
      <c r="A612" s="273"/>
      <c r="B612" s="277"/>
      <c r="C612" s="267"/>
      <c r="E612" s="266"/>
      <c r="F612" s="266"/>
      <c r="G612" s="266"/>
    </row>
    <row r="613" spans="1:7" x14ac:dyDescent="0.25">
      <c r="A613" s="273"/>
      <c r="B613" s="277"/>
      <c r="C613" s="267"/>
      <c r="E613" s="266"/>
      <c r="F613" s="266"/>
      <c r="G613" s="266"/>
    </row>
    <row r="614" spans="1:7" x14ac:dyDescent="0.25">
      <c r="A614" s="273"/>
      <c r="B614" s="277"/>
      <c r="C614" s="267"/>
      <c r="E614" s="266"/>
      <c r="F614" s="266"/>
      <c r="G614" s="266"/>
    </row>
    <row r="615" spans="1:7" x14ac:dyDescent="0.25">
      <c r="A615" s="273"/>
      <c r="B615" s="277"/>
      <c r="C615" s="267"/>
      <c r="E615" s="266"/>
      <c r="F615" s="266"/>
      <c r="G615" s="266"/>
    </row>
    <row r="616" spans="1:7" x14ac:dyDescent="0.25">
      <c r="A616" s="273"/>
      <c r="B616" s="277"/>
      <c r="C616" s="267"/>
      <c r="E616" s="266"/>
      <c r="F616" s="266"/>
      <c r="G616" s="266"/>
    </row>
    <row r="617" spans="1:7" x14ac:dyDescent="0.25">
      <c r="A617" s="273"/>
      <c r="B617" s="277"/>
      <c r="C617" s="267"/>
      <c r="E617" s="266"/>
      <c r="F617" s="266"/>
      <c r="G617" s="266"/>
    </row>
    <row r="618" spans="1:7" x14ac:dyDescent="0.25">
      <c r="A618" s="273"/>
      <c r="B618" s="277"/>
      <c r="C618" s="267"/>
      <c r="E618" s="266"/>
      <c r="F618" s="266"/>
      <c r="G618" s="266"/>
    </row>
    <row r="619" spans="1:7" x14ac:dyDescent="0.25">
      <c r="A619" s="273"/>
      <c r="B619" s="277"/>
      <c r="C619" s="267"/>
      <c r="E619" s="266"/>
      <c r="F619" s="266"/>
      <c r="G619" s="266"/>
    </row>
    <row r="620" spans="1:7" x14ac:dyDescent="0.25">
      <c r="A620" s="273"/>
      <c r="B620" s="277"/>
      <c r="C620" s="267"/>
      <c r="E620" s="266"/>
      <c r="F620" s="266"/>
      <c r="G620" s="266"/>
    </row>
    <row r="621" spans="1:7" x14ac:dyDescent="0.25">
      <c r="A621" s="273"/>
      <c r="B621" s="277"/>
      <c r="C621" s="267"/>
      <c r="E621" s="266"/>
      <c r="F621" s="266"/>
      <c r="G621" s="266"/>
    </row>
    <row r="622" spans="1:7" x14ac:dyDescent="0.25">
      <c r="A622" s="273"/>
      <c r="B622" s="277"/>
      <c r="C622" s="267"/>
      <c r="E622" s="266"/>
      <c r="F622" s="266"/>
      <c r="G622" s="266"/>
    </row>
    <row r="623" spans="1:7" x14ac:dyDescent="0.25">
      <c r="A623" s="273"/>
      <c r="B623" s="277"/>
      <c r="C623" s="267"/>
      <c r="E623" s="266"/>
      <c r="F623" s="266"/>
      <c r="G623" s="266"/>
    </row>
    <row r="624" spans="1:7" x14ac:dyDescent="0.25">
      <c r="A624" s="273"/>
      <c r="B624" s="277"/>
      <c r="C624" s="267"/>
      <c r="E624" s="266"/>
      <c r="F624" s="266"/>
      <c r="G624" s="266"/>
    </row>
    <row r="625" spans="1:7" x14ac:dyDescent="0.25">
      <c r="A625" s="273"/>
      <c r="B625" s="277"/>
      <c r="C625" s="267"/>
      <c r="E625" s="266"/>
      <c r="F625" s="266"/>
      <c r="G625" s="266"/>
    </row>
    <row r="626" spans="1:7" x14ac:dyDescent="0.25">
      <c r="A626" s="273"/>
      <c r="B626" s="277"/>
      <c r="C626" s="267"/>
      <c r="E626" s="266"/>
      <c r="F626" s="266"/>
      <c r="G626" s="266"/>
    </row>
    <row r="627" spans="1:7" x14ac:dyDescent="0.25">
      <c r="A627" s="273"/>
      <c r="B627" s="277"/>
      <c r="C627" s="267"/>
      <c r="E627" s="266"/>
      <c r="F627" s="266"/>
      <c r="G627" s="266"/>
    </row>
    <row r="628" spans="1:7" x14ac:dyDescent="0.25">
      <c r="A628" s="273"/>
      <c r="B628" s="277"/>
      <c r="C628" s="267"/>
      <c r="E628" s="266"/>
      <c r="F628" s="266"/>
      <c r="G628" s="266"/>
    </row>
    <row r="629" spans="1:7" x14ac:dyDescent="0.25">
      <c r="A629" s="273"/>
      <c r="B629" s="277"/>
      <c r="C629" s="267"/>
      <c r="E629" s="266"/>
      <c r="F629" s="266"/>
      <c r="G629" s="266"/>
    </row>
    <row r="630" spans="1:7" x14ac:dyDescent="0.25">
      <c r="A630" s="273"/>
      <c r="B630" s="277"/>
      <c r="C630" s="267"/>
      <c r="E630" s="266"/>
      <c r="F630" s="266"/>
      <c r="G630" s="266"/>
    </row>
    <row r="631" spans="1:7" x14ac:dyDescent="0.25">
      <c r="A631" s="274"/>
      <c r="B631" s="277"/>
      <c r="C631" s="267"/>
      <c r="E631" s="266"/>
      <c r="F631" s="266"/>
      <c r="G631" s="266"/>
    </row>
    <row r="632" spans="1:7" x14ac:dyDescent="0.25">
      <c r="A632" s="274"/>
      <c r="B632" s="277"/>
      <c r="C632" s="267"/>
      <c r="E632" s="266"/>
      <c r="F632" s="266"/>
      <c r="G632" s="266"/>
    </row>
    <row r="633" spans="1:7" x14ac:dyDescent="0.25">
      <c r="A633" s="274"/>
      <c r="B633" s="277"/>
      <c r="C633" s="267"/>
      <c r="E633" s="266"/>
      <c r="F633" s="266"/>
      <c r="G633" s="266"/>
    </row>
    <row r="634" spans="1:7" x14ac:dyDescent="0.25">
      <c r="A634" s="274"/>
      <c r="B634" s="277"/>
      <c r="C634" s="267"/>
      <c r="E634" s="266"/>
      <c r="F634" s="266"/>
      <c r="G634" s="266"/>
    </row>
    <row r="635" spans="1:7" x14ac:dyDescent="0.25">
      <c r="A635" s="274"/>
      <c r="B635" s="277"/>
      <c r="C635" s="267"/>
      <c r="E635" s="266"/>
      <c r="F635" s="266"/>
      <c r="G635" s="266"/>
    </row>
    <row r="636" spans="1:7" x14ac:dyDescent="0.25">
      <c r="A636" s="274"/>
      <c r="B636" s="277"/>
      <c r="C636" s="267"/>
      <c r="E636" s="266"/>
      <c r="F636" s="266"/>
      <c r="G636" s="266"/>
    </row>
    <row r="637" spans="1:7" x14ac:dyDescent="0.25">
      <c r="A637" s="274"/>
      <c r="B637" s="277"/>
      <c r="C637" s="267"/>
      <c r="E637" s="266"/>
      <c r="F637" s="266"/>
      <c r="G637" s="266"/>
    </row>
    <row r="638" spans="1:7" x14ac:dyDescent="0.25">
      <c r="A638" s="274"/>
      <c r="B638" s="277"/>
      <c r="C638" s="267"/>
      <c r="E638" s="266"/>
      <c r="F638" s="266"/>
      <c r="G638" s="266"/>
    </row>
    <row r="639" spans="1:7" x14ac:dyDescent="0.25">
      <c r="A639" s="274"/>
      <c r="B639" s="277"/>
      <c r="C639" s="267"/>
      <c r="E639" s="266"/>
      <c r="F639" s="266"/>
      <c r="G639" s="266"/>
    </row>
    <row r="640" spans="1:7" x14ac:dyDescent="0.25">
      <c r="A640" s="274"/>
      <c r="B640" s="277"/>
      <c r="C640" s="267"/>
      <c r="E640" s="266"/>
      <c r="F640" s="266"/>
      <c r="G640" s="266"/>
    </row>
    <row r="641" spans="1:7" x14ac:dyDescent="0.25">
      <c r="A641" s="274"/>
      <c r="B641" s="277"/>
      <c r="C641" s="267"/>
      <c r="E641" s="266"/>
      <c r="F641" s="266"/>
      <c r="G641" s="266"/>
    </row>
    <row r="642" spans="1:7" x14ac:dyDescent="0.25">
      <c r="A642" s="274"/>
      <c r="B642" s="277"/>
      <c r="C642" s="267"/>
      <c r="E642" s="266"/>
      <c r="F642" s="266"/>
      <c r="G642" s="266"/>
    </row>
    <row r="643" spans="1:7" x14ac:dyDescent="0.25">
      <c r="A643" s="274"/>
      <c r="B643" s="277"/>
      <c r="C643" s="267"/>
      <c r="E643" s="266"/>
      <c r="F643" s="266"/>
      <c r="G643" s="266"/>
    </row>
    <row r="644" spans="1:7" x14ac:dyDescent="0.25">
      <c r="A644" s="274"/>
      <c r="B644" s="277"/>
      <c r="C644" s="267"/>
      <c r="E644" s="266"/>
      <c r="F644" s="266"/>
      <c r="G644" s="266"/>
    </row>
    <row r="645" spans="1:7" x14ac:dyDescent="0.25">
      <c r="A645" s="49"/>
      <c r="B645" s="48"/>
      <c r="C645" s="267"/>
      <c r="E645" s="266"/>
      <c r="F645" s="266"/>
      <c r="G645" s="266"/>
    </row>
    <row r="646" spans="1:7" x14ac:dyDescent="0.25">
      <c r="A646" s="273"/>
      <c r="B646" s="277"/>
      <c r="C646" s="267"/>
      <c r="E646" s="266"/>
      <c r="F646" s="266"/>
      <c r="G646" s="266"/>
    </row>
    <row r="647" spans="1:7" x14ac:dyDescent="0.25">
      <c r="A647" s="273"/>
      <c r="B647" s="277"/>
      <c r="C647" s="267"/>
      <c r="E647" s="266"/>
      <c r="F647" s="266"/>
      <c r="G647" s="266"/>
    </row>
    <row r="648" spans="1:7" x14ac:dyDescent="0.25">
      <c r="A648" s="273"/>
      <c r="B648" s="277"/>
      <c r="C648" s="267"/>
      <c r="E648" s="266"/>
      <c r="F648" s="266"/>
      <c r="G648" s="266"/>
    </row>
    <row r="649" spans="1:7" x14ac:dyDescent="0.25">
      <c r="A649" s="273"/>
      <c r="B649" s="277"/>
      <c r="C649" s="267"/>
      <c r="E649" s="266"/>
      <c r="F649" s="266"/>
      <c r="G649" s="266"/>
    </row>
    <row r="650" spans="1:7" x14ac:dyDescent="0.25">
      <c r="A650" s="273"/>
      <c r="B650" s="277"/>
      <c r="C650" s="267"/>
      <c r="E650" s="266"/>
      <c r="F650" s="266"/>
      <c r="G650" s="266"/>
    </row>
    <row r="651" spans="1:7" x14ac:dyDescent="0.25">
      <c r="A651" s="273"/>
      <c r="B651" s="277"/>
      <c r="C651" s="267"/>
      <c r="E651" s="266"/>
      <c r="F651" s="266"/>
      <c r="G651" s="266"/>
    </row>
    <row r="652" spans="1:7" x14ac:dyDescent="0.25">
      <c r="A652" s="273"/>
      <c r="B652" s="277"/>
      <c r="C652" s="267"/>
      <c r="E652" s="266"/>
      <c r="F652" s="266"/>
      <c r="G652" s="266"/>
    </row>
    <row r="653" spans="1:7" x14ac:dyDescent="0.25">
      <c r="A653" s="273"/>
      <c r="B653" s="277"/>
      <c r="C653" s="267"/>
      <c r="E653" s="266"/>
      <c r="F653" s="266"/>
      <c r="G653" s="266"/>
    </row>
    <row r="654" spans="1:7" x14ac:dyDescent="0.25">
      <c r="A654" s="273"/>
      <c r="B654" s="277"/>
      <c r="C654" s="267"/>
      <c r="E654" s="266"/>
      <c r="F654" s="266"/>
      <c r="G654" s="266"/>
    </row>
    <row r="655" spans="1:7" x14ac:dyDescent="0.25">
      <c r="A655" s="273"/>
      <c r="B655" s="277"/>
      <c r="C655" s="267"/>
      <c r="E655" s="266"/>
      <c r="F655" s="266"/>
      <c r="G655" s="266"/>
    </row>
    <row r="656" spans="1:7" x14ac:dyDescent="0.25">
      <c r="A656" s="273"/>
      <c r="B656" s="277"/>
      <c r="C656" s="267"/>
      <c r="E656" s="266"/>
      <c r="F656" s="266"/>
      <c r="G656" s="266"/>
    </row>
    <row r="657" spans="1:7" x14ac:dyDescent="0.25">
      <c r="A657" s="273"/>
      <c r="B657" s="277"/>
      <c r="C657" s="267"/>
      <c r="E657" s="266"/>
      <c r="F657" s="266"/>
      <c r="G657" s="266"/>
    </row>
    <row r="658" spans="1:7" x14ac:dyDescent="0.25">
      <c r="A658" s="273"/>
      <c r="B658" s="277"/>
      <c r="C658" s="267"/>
      <c r="E658" s="266"/>
      <c r="F658" s="266"/>
      <c r="G658" s="266"/>
    </row>
    <row r="659" spans="1:7" x14ac:dyDescent="0.25">
      <c r="A659" s="273"/>
      <c r="B659" s="277"/>
      <c r="C659" s="267"/>
      <c r="E659" s="266"/>
      <c r="F659" s="266"/>
      <c r="G659" s="266"/>
    </row>
    <row r="660" spans="1:7" x14ac:dyDescent="0.25">
      <c r="A660" s="273"/>
      <c r="B660" s="277"/>
      <c r="C660" s="267"/>
      <c r="E660" s="266"/>
      <c r="F660" s="266"/>
      <c r="G660" s="266"/>
    </row>
    <row r="661" spans="1:7" x14ac:dyDescent="0.25">
      <c r="A661" s="273"/>
      <c r="B661" s="277"/>
      <c r="C661" s="267"/>
      <c r="E661" s="266"/>
      <c r="F661" s="266"/>
      <c r="G661" s="266"/>
    </row>
    <row r="662" spans="1:7" x14ac:dyDescent="0.25">
      <c r="A662" s="273"/>
      <c r="B662" s="277"/>
      <c r="C662" s="267"/>
      <c r="E662" s="266"/>
      <c r="F662" s="266"/>
      <c r="G662" s="266"/>
    </row>
    <row r="663" spans="1:7" x14ac:dyDescent="0.25">
      <c r="A663" s="273"/>
      <c r="B663" s="277"/>
      <c r="C663" s="267"/>
      <c r="E663" s="266"/>
      <c r="F663" s="266"/>
      <c r="G663" s="266"/>
    </row>
    <row r="664" spans="1:7" x14ac:dyDescent="0.25">
      <c r="A664" s="273"/>
      <c r="B664" s="277"/>
      <c r="C664" s="267"/>
      <c r="E664" s="266"/>
      <c r="F664" s="266"/>
      <c r="G664" s="266"/>
    </row>
    <row r="665" spans="1:7" x14ac:dyDescent="0.25">
      <c r="A665" s="273"/>
      <c r="B665" s="277"/>
      <c r="C665" s="267"/>
      <c r="E665" s="266"/>
      <c r="F665" s="266"/>
      <c r="G665" s="266"/>
    </row>
    <row r="666" spans="1:7" x14ac:dyDescent="0.25">
      <c r="A666" s="273"/>
      <c r="B666" s="277"/>
      <c r="C666" s="267"/>
      <c r="E666" s="266"/>
      <c r="F666" s="266"/>
      <c r="G666" s="266"/>
    </row>
    <row r="667" spans="1:7" x14ac:dyDescent="0.25">
      <c r="A667" s="273"/>
      <c r="B667" s="277"/>
      <c r="C667" s="267"/>
      <c r="E667" s="266"/>
      <c r="F667" s="266"/>
      <c r="G667" s="266"/>
    </row>
    <row r="668" spans="1:7" x14ac:dyDescent="0.25">
      <c r="A668" s="273"/>
      <c r="B668" s="277"/>
      <c r="C668" s="267"/>
      <c r="E668" s="266"/>
      <c r="F668" s="266"/>
      <c r="G668" s="266"/>
    </row>
    <row r="669" spans="1:7" x14ac:dyDescent="0.25">
      <c r="A669" s="273"/>
      <c r="B669" s="277"/>
      <c r="C669" s="267"/>
      <c r="E669" s="266"/>
      <c r="F669" s="266"/>
      <c r="G669" s="266"/>
    </row>
    <row r="670" spans="1:7" x14ac:dyDescent="0.25">
      <c r="A670" s="273"/>
      <c r="B670" s="277"/>
      <c r="C670" s="267"/>
      <c r="E670" s="266"/>
      <c r="F670" s="266"/>
      <c r="G670" s="266"/>
    </row>
    <row r="671" spans="1:7" x14ac:dyDescent="0.25">
      <c r="A671" s="273"/>
      <c r="B671" s="277"/>
      <c r="C671" s="267"/>
      <c r="E671" s="266"/>
      <c r="F671" s="266"/>
      <c r="G671" s="266"/>
    </row>
    <row r="672" spans="1:7" x14ac:dyDescent="0.25">
      <c r="A672" s="273"/>
      <c r="B672" s="277"/>
      <c r="C672" s="267"/>
      <c r="E672" s="266"/>
      <c r="F672" s="266"/>
      <c r="G672" s="266"/>
    </row>
    <row r="673" spans="1:7" x14ac:dyDescent="0.25">
      <c r="A673" s="273"/>
      <c r="B673" s="277"/>
      <c r="C673" s="267"/>
      <c r="E673" s="266"/>
      <c r="F673" s="266"/>
      <c r="G673" s="266"/>
    </row>
    <row r="674" spans="1:7" x14ac:dyDescent="0.25">
      <c r="A674" s="273"/>
      <c r="B674" s="277"/>
      <c r="C674" s="267"/>
      <c r="E674" s="266"/>
      <c r="F674" s="266"/>
      <c r="G674" s="266"/>
    </row>
    <row r="675" spans="1:7" x14ac:dyDescent="0.25">
      <c r="A675" s="273"/>
      <c r="B675" s="277"/>
      <c r="C675" s="267"/>
      <c r="E675" s="266"/>
      <c r="F675" s="266"/>
      <c r="G675" s="266"/>
    </row>
    <row r="676" spans="1:7" x14ac:dyDescent="0.25">
      <c r="A676" s="273"/>
      <c r="B676" s="277"/>
      <c r="C676" s="267"/>
      <c r="E676" s="266"/>
      <c r="F676" s="266"/>
      <c r="G676" s="266"/>
    </row>
    <row r="677" spans="1:7" x14ac:dyDescent="0.25">
      <c r="A677" s="273"/>
      <c r="B677" s="277"/>
      <c r="C677" s="267"/>
      <c r="E677" s="266"/>
      <c r="F677" s="266"/>
      <c r="G677" s="266"/>
    </row>
    <row r="678" spans="1:7" x14ac:dyDescent="0.25">
      <c r="A678" s="273"/>
      <c r="B678" s="277"/>
      <c r="C678" s="267"/>
      <c r="E678" s="266"/>
      <c r="F678" s="266"/>
      <c r="G678" s="266"/>
    </row>
    <row r="679" spans="1:7" x14ac:dyDescent="0.25">
      <c r="A679" s="273"/>
      <c r="B679" s="277"/>
      <c r="C679" s="267"/>
      <c r="E679" s="266"/>
      <c r="F679" s="266"/>
      <c r="G679" s="266"/>
    </row>
    <row r="680" spans="1:7" x14ac:dyDescent="0.25">
      <c r="A680" s="273"/>
      <c r="B680" s="277"/>
      <c r="C680" s="267"/>
      <c r="E680" s="266"/>
      <c r="F680" s="266"/>
      <c r="G680" s="266"/>
    </row>
    <row r="681" spans="1:7" x14ac:dyDescent="0.25">
      <c r="A681" s="273"/>
      <c r="B681" s="277"/>
      <c r="C681" s="267"/>
      <c r="E681" s="266"/>
      <c r="F681" s="266"/>
      <c r="G681" s="266"/>
    </row>
    <row r="682" spans="1:7" x14ac:dyDescent="0.25">
      <c r="A682" s="273"/>
      <c r="B682" s="277"/>
      <c r="C682" s="267"/>
      <c r="E682" s="266"/>
      <c r="F682" s="266"/>
      <c r="G682" s="266"/>
    </row>
    <row r="683" spans="1:7" x14ac:dyDescent="0.25">
      <c r="A683" s="273"/>
      <c r="B683" s="277"/>
      <c r="C683" s="267"/>
      <c r="E683" s="266"/>
      <c r="F683" s="266"/>
      <c r="G683" s="266"/>
    </row>
    <row r="684" spans="1:7" x14ac:dyDescent="0.25">
      <c r="A684" s="273"/>
      <c r="B684" s="277"/>
      <c r="C684" s="267"/>
      <c r="E684" s="266"/>
      <c r="F684" s="266"/>
      <c r="G684" s="266"/>
    </row>
    <row r="685" spans="1:7" x14ac:dyDescent="0.25">
      <c r="A685" s="273"/>
      <c r="B685" s="277"/>
      <c r="C685" s="267"/>
      <c r="E685" s="266"/>
      <c r="F685" s="266"/>
      <c r="G685" s="266"/>
    </row>
    <row r="686" spans="1:7" x14ac:dyDescent="0.25">
      <c r="A686" s="273"/>
      <c r="B686" s="277"/>
      <c r="C686" s="267"/>
      <c r="E686" s="266"/>
      <c r="F686" s="266"/>
      <c r="G686" s="266"/>
    </row>
    <row r="687" spans="1:7" x14ac:dyDescent="0.25">
      <c r="A687" s="273"/>
      <c r="B687" s="277"/>
      <c r="C687" s="267"/>
      <c r="E687" s="266"/>
      <c r="F687" s="266"/>
      <c r="G687" s="266"/>
    </row>
    <row r="688" spans="1:7" x14ac:dyDescent="0.25">
      <c r="A688" s="273"/>
      <c r="B688" s="277"/>
      <c r="C688" s="267"/>
      <c r="E688" s="266"/>
      <c r="F688" s="266"/>
      <c r="G688" s="266"/>
    </row>
    <row r="689" spans="1:7" x14ac:dyDescent="0.25">
      <c r="A689" s="273"/>
      <c r="B689" s="277"/>
      <c r="C689" s="267"/>
      <c r="E689" s="266"/>
      <c r="F689" s="266"/>
      <c r="G689" s="266"/>
    </row>
    <row r="690" spans="1:7" x14ac:dyDescent="0.25">
      <c r="A690" s="273"/>
      <c r="B690" s="277"/>
      <c r="C690" s="267"/>
      <c r="E690" s="266"/>
      <c r="F690" s="266"/>
      <c r="G690" s="266"/>
    </row>
    <row r="691" spans="1:7" x14ac:dyDescent="0.25">
      <c r="A691" s="273"/>
      <c r="B691" s="277"/>
      <c r="C691" s="267"/>
      <c r="E691" s="266"/>
      <c r="F691" s="266"/>
      <c r="G691" s="266"/>
    </row>
    <row r="692" spans="1:7" x14ac:dyDescent="0.25">
      <c r="A692" s="273"/>
      <c r="B692" s="277"/>
      <c r="C692" s="267"/>
      <c r="E692" s="266"/>
      <c r="F692" s="266"/>
      <c r="G692" s="266"/>
    </row>
    <row r="693" spans="1:7" x14ac:dyDescent="0.25">
      <c r="A693" s="273"/>
      <c r="B693" s="277"/>
      <c r="C693" s="267"/>
      <c r="E693" s="266"/>
      <c r="F693" s="266"/>
      <c r="G693" s="266"/>
    </row>
    <row r="694" spans="1:7" x14ac:dyDescent="0.25">
      <c r="A694" s="273"/>
      <c r="B694" s="277"/>
      <c r="C694" s="267"/>
      <c r="E694" s="266"/>
      <c r="F694" s="266"/>
      <c r="G694" s="266"/>
    </row>
    <row r="695" spans="1:7" x14ac:dyDescent="0.25">
      <c r="A695" s="273"/>
      <c r="B695" s="277"/>
      <c r="C695" s="267"/>
      <c r="E695" s="266"/>
      <c r="F695" s="266"/>
      <c r="G695" s="266"/>
    </row>
    <row r="696" spans="1:7" x14ac:dyDescent="0.25">
      <c r="A696" s="273"/>
      <c r="B696" s="277"/>
      <c r="C696" s="267"/>
      <c r="E696" s="266"/>
      <c r="F696" s="266"/>
      <c r="G696" s="266"/>
    </row>
    <row r="697" spans="1:7" x14ac:dyDescent="0.25">
      <c r="A697" s="273"/>
      <c r="B697" s="277"/>
      <c r="C697" s="267"/>
      <c r="E697" s="266"/>
      <c r="F697" s="266"/>
      <c r="G697" s="266"/>
    </row>
    <row r="698" spans="1:7" x14ac:dyDescent="0.25">
      <c r="A698" s="273"/>
      <c r="B698" s="277"/>
      <c r="C698" s="267"/>
      <c r="E698" s="266"/>
      <c r="F698" s="266"/>
      <c r="G698" s="266"/>
    </row>
    <row r="699" spans="1:7" x14ac:dyDescent="0.25">
      <c r="A699" s="273"/>
      <c r="B699" s="277"/>
      <c r="C699" s="267"/>
      <c r="E699" s="266"/>
      <c r="F699" s="266"/>
      <c r="G699" s="266"/>
    </row>
    <row r="700" spans="1:7" x14ac:dyDescent="0.25">
      <c r="A700" s="273"/>
      <c r="B700" s="277"/>
      <c r="C700" s="267"/>
      <c r="E700" s="266"/>
      <c r="F700" s="266"/>
      <c r="G700" s="266"/>
    </row>
    <row r="701" spans="1:7" x14ac:dyDescent="0.25">
      <c r="A701" s="273"/>
      <c r="B701" s="277"/>
      <c r="C701" s="267"/>
      <c r="E701" s="266"/>
      <c r="F701" s="266"/>
      <c r="G701" s="266"/>
    </row>
    <row r="702" spans="1:7" x14ac:dyDescent="0.25">
      <c r="A702" s="273"/>
      <c r="B702" s="277"/>
      <c r="C702" s="267"/>
      <c r="E702" s="266"/>
      <c r="F702" s="266"/>
      <c r="G702" s="266"/>
    </row>
    <row r="703" spans="1:7" x14ac:dyDescent="0.25">
      <c r="A703" s="273"/>
      <c r="B703" s="277"/>
      <c r="C703" s="267"/>
      <c r="E703" s="266"/>
      <c r="F703" s="266"/>
      <c r="G703" s="266"/>
    </row>
    <row r="704" spans="1:7" x14ac:dyDescent="0.25">
      <c r="A704" s="273"/>
      <c r="B704" s="277"/>
      <c r="C704" s="267"/>
      <c r="E704" s="266"/>
      <c r="F704" s="266"/>
      <c r="G704" s="266"/>
    </row>
    <row r="705" spans="1:7" x14ac:dyDescent="0.25">
      <c r="A705" s="273"/>
      <c r="B705" s="277"/>
      <c r="C705" s="267"/>
      <c r="E705" s="266"/>
      <c r="F705" s="266"/>
      <c r="G705" s="266"/>
    </row>
    <row r="706" spans="1:7" x14ac:dyDescent="0.25">
      <c r="A706" s="273"/>
      <c r="B706" s="277"/>
      <c r="C706" s="267"/>
      <c r="E706" s="266"/>
      <c r="F706" s="266"/>
      <c r="G706" s="266"/>
    </row>
    <row r="707" spans="1:7" x14ac:dyDescent="0.25">
      <c r="A707" s="273"/>
      <c r="B707" s="277"/>
      <c r="C707" s="267"/>
      <c r="E707" s="266"/>
      <c r="F707" s="266"/>
      <c r="G707" s="266"/>
    </row>
    <row r="708" spans="1:7" x14ac:dyDescent="0.25">
      <c r="A708" s="273"/>
      <c r="B708" s="277"/>
      <c r="C708" s="267"/>
      <c r="E708" s="266"/>
      <c r="F708" s="266"/>
      <c r="G708" s="266"/>
    </row>
    <row r="709" spans="1:7" x14ac:dyDescent="0.25">
      <c r="A709" s="273"/>
      <c r="B709" s="277"/>
      <c r="C709" s="267"/>
      <c r="E709" s="266"/>
      <c r="F709" s="266"/>
      <c r="G709" s="266"/>
    </row>
    <row r="710" spans="1:7" x14ac:dyDescent="0.25">
      <c r="A710" s="273"/>
      <c r="B710" s="277"/>
      <c r="C710" s="267"/>
      <c r="E710" s="266"/>
      <c r="F710" s="266"/>
      <c r="G710" s="266"/>
    </row>
    <row r="711" spans="1:7" x14ac:dyDescent="0.25">
      <c r="A711" s="273"/>
      <c r="B711" s="277"/>
      <c r="C711" s="267"/>
      <c r="E711" s="266"/>
      <c r="F711" s="266"/>
      <c r="G711" s="266"/>
    </row>
    <row r="712" spans="1:7" x14ac:dyDescent="0.25">
      <c r="A712" s="273"/>
      <c r="B712" s="277"/>
      <c r="C712" s="267"/>
      <c r="E712" s="266"/>
      <c r="F712" s="266"/>
      <c r="G712" s="266"/>
    </row>
    <row r="713" spans="1:7" x14ac:dyDescent="0.25">
      <c r="A713" s="273"/>
      <c r="B713" s="277"/>
      <c r="C713" s="267"/>
      <c r="E713" s="266"/>
      <c r="F713" s="266"/>
      <c r="G713" s="266"/>
    </row>
    <row r="714" spans="1:7" x14ac:dyDescent="0.25">
      <c r="A714" s="273"/>
      <c r="B714" s="277"/>
      <c r="C714" s="267"/>
      <c r="E714" s="266"/>
      <c r="F714" s="266"/>
      <c r="G714" s="266"/>
    </row>
    <row r="715" spans="1:7" x14ac:dyDescent="0.25">
      <c r="A715" s="273"/>
      <c r="B715" s="277"/>
      <c r="C715" s="267"/>
      <c r="E715" s="266"/>
      <c r="F715" s="266"/>
      <c r="G715" s="266"/>
    </row>
    <row r="716" spans="1:7" x14ac:dyDescent="0.25">
      <c r="A716" s="273"/>
      <c r="B716" s="277"/>
      <c r="C716" s="267"/>
      <c r="E716" s="266"/>
      <c r="F716" s="266"/>
      <c r="G716" s="266"/>
    </row>
    <row r="717" spans="1:7" x14ac:dyDescent="0.25">
      <c r="A717" s="273"/>
      <c r="B717" s="277"/>
      <c r="C717" s="267"/>
      <c r="E717" s="266"/>
      <c r="F717" s="266"/>
      <c r="G717" s="266"/>
    </row>
    <row r="718" spans="1:7" x14ac:dyDescent="0.25">
      <c r="A718" s="273"/>
      <c r="B718" s="277"/>
      <c r="C718" s="267"/>
      <c r="E718" s="266"/>
      <c r="F718" s="266"/>
      <c r="G718" s="266"/>
    </row>
    <row r="719" spans="1:7" x14ac:dyDescent="0.25">
      <c r="A719" s="273"/>
      <c r="B719" s="277"/>
      <c r="C719" s="267"/>
      <c r="E719" s="266"/>
      <c r="F719" s="266"/>
      <c r="G719" s="266"/>
    </row>
    <row r="720" spans="1:7" x14ac:dyDescent="0.25">
      <c r="A720" s="273"/>
      <c r="B720" s="277"/>
      <c r="C720" s="267"/>
      <c r="E720" s="266"/>
      <c r="F720" s="266"/>
      <c r="G720" s="266"/>
    </row>
    <row r="721" spans="1:7" x14ac:dyDescent="0.25">
      <c r="A721" s="273"/>
      <c r="B721" s="277"/>
      <c r="C721" s="267"/>
      <c r="E721" s="266"/>
      <c r="F721" s="266"/>
      <c r="G721" s="266"/>
    </row>
    <row r="722" spans="1:7" x14ac:dyDescent="0.25">
      <c r="A722" s="273"/>
      <c r="B722" s="277"/>
      <c r="C722" s="267"/>
      <c r="E722" s="266"/>
      <c r="F722" s="266"/>
      <c r="G722" s="266"/>
    </row>
    <row r="723" spans="1:7" x14ac:dyDescent="0.25">
      <c r="A723" s="273"/>
      <c r="B723" s="277"/>
      <c r="C723" s="267"/>
      <c r="E723" s="266"/>
      <c r="F723" s="266"/>
      <c r="G723" s="266"/>
    </row>
    <row r="724" spans="1:7" x14ac:dyDescent="0.25">
      <c r="A724" s="273"/>
      <c r="B724" s="277"/>
      <c r="C724" s="267"/>
      <c r="E724" s="266"/>
      <c r="F724" s="266"/>
      <c r="G724" s="266"/>
    </row>
    <row r="725" spans="1:7" x14ac:dyDescent="0.25">
      <c r="A725" s="273"/>
      <c r="B725" s="277"/>
      <c r="C725" s="267"/>
      <c r="E725" s="266"/>
      <c r="F725" s="266"/>
      <c r="G725" s="266"/>
    </row>
    <row r="726" spans="1:7" x14ac:dyDescent="0.25">
      <c r="A726" s="273"/>
      <c r="B726" s="277"/>
      <c r="C726" s="267"/>
      <c r="E726" s="266"/>
      <c r="F726" s="266"/>
      <c r="G726" s="266"/>
    </row>
    <row r="727" spans="1:7" x14ac:dyDescent="0.25">
      <c r="A727" s="273"/>
      <c r="B727" s="277"/>
      <c r="C727" s="267"/>
      <c r="E727" s="266"/>
      <c r="F727" s="266"/>
      <c r="G727" s="266"/>
    </row>
    <row r="728" spans="1:7" x14ac:dyDescent="0.25">
      <c r="A728" s="273"/>
      <c r="B728" s="277"/>
      <c r="C728" s="267"/>
      <c r="E728" s="266"/>
      <c r="F728" s="266"/>
      <c r="G728" s="266"/>
    </row>
    <row r="729" spans="1:7" x14ac:dyDescent="0.25">
      <c r="A729" s="273"/>
      <c r="B729" s="277"/>
      <c r="C729" s="267"/>
      <c r="E729" s="266"/>
      <c r="F729" s="266"/>
      <c r="G729" s="266"/>
    </row>
    <row r="730" spans="1:7" x14ac:dyDescent="0.25">
      <c r="A730" s="273"/>
      <c r="B730" s="277"/>
      <c r="C730" s="267"/>
      <c r="E730" s="266"/>
      <c r="F730" s="266"/>
      <c r="G730" s="266"/>
    </row>
    <row r="731" spans="1:7" x14ac:dyDescent="0.25">
      <c r="A731" s="273"/>
      <c r="B731" s="277"/>
      <c r="C731" s="267"/>
      <c r="E731" s="266"/>
      <c r="F731" s="266"/>
      <c r="G731" s="266"/>
    </row>
    <row r="732" spans="1:7" x14ac:dyDescent="0.25">
      <c r="A732" s="273"/>
      <c r="B732" s="277"/>
      <c r="C732" s="267"/>
      <c r="E732" s="266"/>
      <c r="F732" s="266"/>
      <c r="G732" s="266"/>
    </row>
    <row r="733" spans="1:7" x14ac:dyDescent="0.25">
      <c r="A733" s="273"/>
      <c r="B733" s="277"/>
      <c r="C733" s="267"/>
      <c r="E733" s="266"/>
      <c r="F733" s="266"/>
      <c r="G733" s="266"/>
    </row>
    <row r="734" spans="1:7" x14ac:dyDescent="0.25">
      <c r="A734" s="273"/>
      <c r="B734" s="277"/>
      <c r="C734" s="267"/>
      <c r="E734" s="266"/>
      <c r="F734" s="266"/>
      <c r="G734" s="266"/>
    </row>
    <row r="735" spans="1:7" x14ac:dyDescent="0.25">
      <c r="A735" s="273"/>
      <c r="B735" s="277"/>
      <c r="C735" s="267"/>
      <c r="E735" s="266"/>
      <c r="F735" s="266"/>
      <c r="G735" s="266"/>
    </row>
    <row r="736" spans="1:7" x14ac:dyDescent="0.25">
      <c r="A736" s="273"/>
      <c r="B736" s="277"/>
      <c r="C736" s="267"/>
      <c r="E736" s="266"/>
      <c r="F736" s="266"/>
      <c r="G736" s="266"/>
    </row>
    <row r="737" spans="1:7" x14ac:dyDescent="0.25">
      <c r="A737" s="273"/>
      <c r="B737" s="277"/>
      <c r="C737" s="267"/>
      <c r="E737" s="266"/>
      <c r="F737" s="266"/>
      <c r="G737" s="266"/>
    </row>
    <row r="738" spans="1:7" x14ac:dyDescent="0.25">
      <c r="A738" s="273"/>
      <c r="B738" s="277"/>
      <c r="C738" s="267"/>
      <c r="E738" s="266"/>
      <c r="F738" s="266"/>
      <c r="G738" s="266"/>
    </row>
    <row r="739" spans="1:7" x14ac:dyDescent="0.25">
      <c r="A739" s="273"/>
      <c r="B739" s="277"/>
      <c r="C739" s="267"/>
      <c r="E739" s="266"/>
      <c r="F739" s="266"/>
      <c r="G739" s="266"/>
    </row>
    <row r="740" spans="1:7" x14ac:dyDescent="0.25">
      <c r="A740" s="273"/>
      <c r="B740" s="277"/>
      <c r="C740" s="267"/>
      <c r="E740" s="266"/>
      <c r="F740" s="266"/>
      <c r="G740" s="266"/>
    </row>
    <row r="741" spans="1:7" x14ac:dyDescent="0.25">
      <c r="A741" s="273"/>
      <c r="B741" s="277"/>
      <c r="C741" s="267"/>
      <c r="E741" s="266"/>
      <c r="F741" s="266"/>
      <c r="G741" s="266"/>
    </row>
    <row r="742" spans="1:7" x14ac:dyDescent="0.25">
      <c r="A742" s="273"/>
      <c r="B742" s="277"/>
      <c r="C742" s="267"/>
      <c r="E742" s="266"/>
      <c r="F742" s="266"/>
      <c r="G742" s="266"/>
    </row>
    <row r="743" spans="1:7" x14ac:dyDescent="0.25">
      <c r="A743" s="273"/>
      <c r="B743" s="277"/>
      <c r="C743" s="267"/>
      <c r="E743" s="266"/>
      <c r="F743" s="266"/>
      <c r="G743" s="266"/>
    </row>
    <row r="744" spans="1:7" x14ac:dyDescent="0.25">
      <c r="A744" s="273"/>
      <c r="B744" s="277"/>
      <c r="C744" s="267"/>
      <c r="E744" s="266"/>
      <c r="F744" s="266"/>
      <c r="G744" s="266"/>
    </row>
    <row r="745" spans="1:7" x14ac:dyDescent="0.25">
      <c r="A745" s="273"/>
      <c r="B745" s="277"/>
      <c r="C745" s="267"/>
      <c r="E745" s="266"/>
      <c r="F745" s="266"/>
      <c r="G745" s="266"/>
    </row>
    <row r="746" spans="1:7" x14ac:dyDescent="0.25">
      <c r="A746" s="273"/>
      <c r="B746" s="277"/>
      <c r="C746" s="267"/>
      <c r="E746" s="266"/>
      <c r="F746" s="266"/>
      <c r="G746" s="266"/>
    </row>
    <row r="747" spans="1:7" x14ac:dyDescent="0.25">
      <c r="A747" s="273"/>
      <c r="B747" s="277"/>
      <c r="C747" s="267"/>
      <c r="E747" s="266"/>
      <c r="F747" s="266"/>
      <c r="G747" s="266"/>
    </row>
    <row r="748" spans="1:7" x14ac:dyDescent="0.25">
      <c r="A748" s="273"/>
      <c r="B748" s="277"/>
      <c r="C748" s="267"/>
      <c r="E748" s="266"/>
      <c r="F748" s="266"/>
      <c r="G748" s="266"/>
    </row>
    <row r="749" spans="1:7" x14ac:dyDescent="0.25">
      <c r="A749" s="273"/>
      <c r="B749" s="277"/>
      <c r="C749" s="267"/>
      <c r="E749" s="266"/>
      <c r="F749" s="266"/>
      <c r="G749" s="266"/>
    </row>
    <row r="750" spans="1:7" x14ac:dyDescent="0.25">
      <c r="A750" s="273"/>
      <c r="B750" s="277"/>
      <c r="C750" s="267"/>
      <c r="E750" s="266"/>
      <c r="F750" s="266"/>
      <c r="G750" s="266"/>
    </row>
    <row r="751" spans="1:7" x14ac:dyDescent="0.25">
      <c r="A751" s="273"/>
      <c r="B751" s="277"/>
      <c r="C751" s="267"/>
      <c r="E751" s="266"/>
      <c r="F751" s="266"/>
      <c r="G751" s="266"/>
    </row>
    <row r="752" spans="1:7" x14ac:dyDescent="0.25">
      <c r="A752" s="273"/>
      <c r="B752" s="277"/>
      <c r="C752" s="267"/>
      <c r="E752" s="266"/>
      <c r="F752" s="266"/>
      <c r="G752" s="266"/>
    </row>
    <row r="753" spans="1:7" x14ac:dyDescent="0.25">
      <c r="A753" s="273"/>
      <c r="B753" s="277"/>
      <c r="C753" s="267"/>
      <c r="E753" s="266"/>
      <c r="F753" s="266"/>
      <c r="G753" s="266"/>
    </row>
    <row r="754" spans="1:7" x14ac:dyDescent="0.25">
      <c r="A754" s="273"/>
      <c r="B754" s="277"/>
      <c r="C754" s="267"/>
      <c r="E754" s="266"/>
      <c r="F754" s="266"/>
      <c r="G754" s="266"/>
    </row>
    <row r="755" spans="1:7" x14ac:dyDescent="0.25">
      <c r="A755" s="273"/>
      <c r="B755" s="277"/>
      <c r="C755" s="267"/>
      <c r="E755" s="266"/>
      <c r="F755" s="266"/>
      <c r="G755" s="266"/>
    </row>
    <row r="756" spans="1:7" x14ac:dyDescent="0.25">
      <c r="A756" s="273"/>
      <c r="B756" s="277"/>
      <c r="C756" s="267"/>
      <c r="E756" s="266"/>
      <c r="F756" s="266"/>
      <c r="G756" s="266"/>
    </row>
    <row r="757" spans="1:7" x14ac:dyDescent="0.25">
      <c r="A757" s="273"/>
      <c r="B757" s="277"/>
      <c r="C757" s="267"/>
      <c r="E757" s="266"/>
      <c r="F757" s="266"/>
      <c r="G757" s="266"/>
    </row>
    <row r="758" spans="1:7" x14ac:dyDescent="0.25">
      <c r="A758" s="273"/>
      <c r="B758" s="277"/>
      <c r="C758" s="267"/>
      <c r="E758" s="266"/>
      <c r="F758" s="266"/>
      <c r="G758" s="266"/>
    </row>
    <row r="759" spans="1:7" x14ac:dyDescent="0.25">
      <c r="A759" s="273"/>
      <c r="B759" s="277"/>
      <c r="C759" s="267"/>
      <c r="E759" s="266"/>
      <c r="F759" s="266"/>
      <c r="G759" s="266"/>
    </row>
    <row r="760" spans="1:7" x14ac:dyDescent="0.25">
      <c r="A760" s="273"/>
      <c r="B760" s="277"/>
      <c r="C760" s="267"/>
      <c r="E760" s="266"/>
      <c r="F760" s="266"/>
      <c r="G760" s="266"/>
    </row>
    <row r="761" spans="1:7" x14ac:dyDescent="0.25">
      <c r="A761" s="273"/>
      <c r="B761" s="277"/>
      <c r="C761" s="267"/>
      <c r="E761" s="266"/>
      <c r="F761" s="266"/>
      <c r="G761" s="266"/>
    </row>
    <row r="762" spans="1:7" x14ac:dyDescent="0.25">
      <c r="A762" s="273"/>
      <c r="B762" s="277"/>
      <c r="C762" s="267"/>
      <c r="E762" s="266"/>
      <c r="F762" s="266"/>
      <c r="G762" s="266"/>
    </row>
    <row r="763" spans="1:7" x14ac:dyDescent="0.25">
      <c r="A763" s="273"/>
      <c r="B763" s="277"/>
      <c r="C763" s="267"/>
      <c r="E763" s="266"/>
      <c r="F763" s="266"/>
      <c r="G763" s="266"/>
    </row>
    <row r="764" spans="1:7" x14ac:dyDescent="0.25">
      <c r="A764" s="273"/>
      <c r="B764" s="277"/>
      <c r="C764" s="267"/>
      <c r="E764" s="266"/>
      <c r="F764" s="266"/>
      <c r="G764" s="266"/>
    </row>
    <row r="765" spans="1:7" x14ac:dyDescent="0.25">
      <c r="A765" s="273"/>
      <c r="B765" s="277"/>
      <c r="C765" s="267"/>
      <c r="E765" s="266"/>
      <c r="F765" s="266"/>
      <c r="G765" s="266"/>
    </row>
    <row r="766" spans="1:7" x14ac:dyDescent="0.25">
      <c r="A766" s="273"/>
      <c r="B766" s="277"/>
      <c r="C766" s="267"/>
      <c r="E766" s="266"/>
      <c r="F766" s="266"/>
      <c r="G766" s="266"/>
    </row>
    <row r="767" spans="1:7" x14ac:dyDescent="0.25">
      <c r="A767" s="273"/>
      <c r="B767" s="277"/>
      <c r="C767" s="267"/>
      <c r="E767" s="266"/>
      <c r="F767" s="266"/>
      <c r="G767" s="266"/>
    </row>
    <row r="768" spans="1:7" x14ac:dyDescent="0.25">
      <c r="A768" s="273"/>
      <c r="B768" s="277"/>
      <c r="C768" s="267"/>
      <c r="E768" s="266"/>
      <c r="F768" s="266"/>
      <c r="G768" s="266"/>
    </row>
    <row r="769" spans="1:7" x14ac:dyDescent="0.25">
      <c r="A769" s="273"/>
      <c r="B769" s="277"/>
      <c r="C769" s="267"/>
      <c r="E769" s="266"/>
      <c r="F769" s="266"/>
      <c r="G769" s="266"/>
    </row>
    <row r="770" spans="1:7" x14ac:dyDescent="0.25">
      <c r="A770" s="273"/>
      <c r="B770" s="277"/>
      <c r="C770" s="267"/>
      <c r="E770" s="266"/>
      <c r="F770" s="266"/>
      <c r="G770" s="266"/>
    </row>
    <row r="771" spans="1:7" x14ac:dyDescent="0.25">
      <c r="A771" s="273"/>
      <c r="B771" s="277"/>
      <c r="C771" s="267"/>
      <c r="E771" s="266"/>
      <c r="F771" s="266"/>
      <c r="G771" s="266"/>
    </row>
    <row r="772" spans="1:7" x14ac:dyDescent="0.25">
      <c r="A772" s="273"/>
      <c r="B772" s="277"/>
      <c r="C772" s="267"/>
      <c r="E772" s="266"/>
      <c r="F772" s="266"/>
      <c r="G772" s="266"/>
    </row>
    <row r="773" spans="1:7" x14ac:dyDescent="0.25">
      <c r="A773" s="273"/>
      <c r="B773" s="277"/>
      <c r="C773" s="267"/>
      <c r="E773" s="266"/>
      <c r="F773" s="266"/>
      <c r="G773" s="266"/>
    </row>
    <row r="774" spans="1:7" x14ac:dyDescent="0.25">
      <c r="A774" s="273"/>
      <c r="B774" s="277"/>
      <c r="C774" s="267"/>
      <c r="E774" s="266"/>
      <c r="F774" s="266"/>
      <c r="G774" s="266"/>
    </row>
    <row r="775" spans="1:7" x14ac:dyDescent="0.25">
      <c r="A775" s="273"/>
      <c r="B775" s="277"/>
      <c r="C775" s="267"/>
      <c r="E775" s="266"/>
      <c r="F775" s="266"/>
      <c r="G775" s="266"/>
    </row>
    <row r="776" spans="1:7" x14ac:dyDescent="0.25">
      <c r="A776" s="273"/>
      <c r="B776" s="277"/>
      <c r="C776" s="267"/>
      <c r="E776" s="266"/>
      <c r="F776" s="266"/>
      <c r="G776" s="266"/>
    </row>
    <row r="777" spans="1:7" x14ac:dyDescent="0.25">
      <c r="A777" s="273"/>
      <c r="B777" s="277"/>
      <c r="C777" s="267"/>
      <c r="E777" s="266"/>
      <c r="F777" s="266"/>
      <c r="G777" s="266"/>
    </row>
    <row r="778" spans="1:7" x14ac:dyDescent="0.25">
      <c r="A778" s="273"/>
      <c r="B778" s="277"/>
      <c r="C778" s="267"/>
      <c r="E778" s="266"/>
      <c r="F778" s="266"/>
      <c r="G778" s="266"/>
    </row>
    <row r="779" spans="1:7" x14ac:dyDescent="0.25">
      <c r="A779" s="273"/>
      <c r="B779" s="277"/>
      <c r="C779" s="267"/>
      <c r="E779" s="266"/>
      <c r="F779" s="266"/>
      <c r="G779" s="266"/>
    </row>
    <row r="780" spans="1:7" x14ac:dyDescent="0.25">
      <c r="A780" s="273"/>
      <c r="B780" s="277"/>
      <c r="C780" s="267"/>
      <c r="E780" s="266"/>
      <c r="F780" s="266"/>
      <c r="G780" s="266"/>
    </row>
    <row r="781" spans="1:7" x14ac:dyDescent="0.25">
      <c r="A781" s="273"/>
      <c r="B781" s="277"/>
      <c r="C781" s="267"/>
      <c r="E781" s="266"/>
      <c r="F781" s="266"/>
      <c r="G781" s="266"/>
    </row>
    <row r="782" spans="1:7" x14ac:dyDescent="0.25">
      <c r="A782" s="273"/>
      <c r="B782" s="277"/>
      <c r="C782" s="267"/>
      <c r="E782" s="266"/>
      <c r="F782" s="266"/>
      <c r="G782" s="266"/>
    </row>
    <row r="783" spans="1:7" x14ac:dyDescent="0.25">
      <c r="A783" s="273"/>
      <c r="B783" s="277"/>
      <c r="C783" s="267"/>
      <c r="E783" s="266"/>
      <c r="F783" s="266"/>
      <c r="G783" s="266"/>
    </row>
    <row r="784" spans="1:7" x14ac:dyDescent="0.25">
      <c r="A784" s="273"/>
      <c r="B784" s="277"/>
      <c r="C784" s="267"/>
      <c r="E784" s="266"/>
      <c r="F784" s="266"/>
      <c r="G784" s="266"/>
    </row>
    <row r="785" spans="1:7" x14ac:dyDescent="0.25">
      <c r="A785" s="273"/>
      <c r="B785" s="277"/>
      <c r="C785" s="267"/>
      <c r="E785" s="266"/>
      <c r="F785" s="266"/>
      <c r="G785" s="266"/>
    </row>
    <row r="786" spans="1:7" x14ac:dyDescent="0.25">
      <c r="A786" s="273"/>
      <c r="B786" s="277"/>
      <c r="C786" s="267"/>
      <c r="E786" s="266"/>
      <c r="F786" s="266"/>
      <c r="G786" s="266"/>
    </row>
    <row r="787" spans="1:7" x14ac:dyDescent="0.25">
      <c r="A787" s="273"/>
      <c r="B787" s="277"/>
      <c r="C787" s="267"/>
      <c r="E787" s="266"/>
      <c r="F787" s="266"/>
      <c r="G787" s="266"/>
    </row>
    <row r="788" spans="1:7" x14ac:dyDescent="0.25">
      <c r="A788" s="273"/>
      <c r="B788" s="277"/>
      <c r="C788" s="267"/>
      <c r="E788" s="266"/>
      <c r="F788" s="266"/>
      <c r="G788" s="266"/>
    </row>
    <row r="789" spans="1:7" x14ac:dyDescent="0.25">
      <c r="A789" s="273"/>
      <c r="B789" s="277"/>
      <c r="C789" s="267"/>
      <c r="E789" s="266"/>
      <c r="F789" s="266"/>
      <c r="G789" s="266"/>
    </row>
    <row r="790" spans="1:7" x14ac:dyDescent="0.25">
      <c r="A790" s="273"/>
      <c r="B790" s="277"/>
      <c r="C790" s="267"/>
      <c r="E790" s="266"/>
      <c r="F790" s="266"/>
      <c r="G790" s="266"/>
    </row>
    <row r="791" spans="1:7" x14ac:dyDescent="0.25">
      <c r="A791" s="273"/>
      <c r="B791" s="277"/>
      <c r="C791" s="267"/>
      <c r="E791" s="266"/>
      <c r="F791" s="266"/>
      <c r="G791" s="266"/>
    </row>
    <row r="792" spans="1:7" x14ac:dyDescent="0.25">
      <c r="A792" s="273"/>
      <c r="B792" s="277"/>
      <c r="C792" s="267"/>
      <c r="E792" s="266"/>
      <c r="F792" s="266"/>
      <c r="G792" s="266"/>
    </row>
    <row r="793" spans="1:7" x14ac:dyDescent="0.25">
      <c r="A793" s="273"/>
      <c r="B793" s="277"/>
      <c r="C793" s="267"/>
      <c r="E793" s="266"/>
      <c r="F793" s="266"/>
      <c r="G793" s="266"/>
    </row>
    <row r="794" spans="1:7" x14ac:dyDescent="0.25">
      <c r="A794" s="273"/>
      <c r="B794" s="277"/>
      <c r="C794" s="267"/>
      <c r="E794" s="266"/>
      <c r="F794" s="266"/>
      <c r="G794" s="266"/>
    </row>
    <row r="795" spans="1:7" x14ac:dyDescent="0.25">
      <c r="A795" s="273"/>
      <c r="B795" s="277"/>
      <c r="C795" s="267"/>
      <c r="E795" s="266"/>
      <c r="F795" s="266"/>
      <c r="G795" s="266"/>
    </row>
    <row r="796" spans="1:7" x14ac:dyDescent="0.25">
      <c r="A796" s="273"/>
      <c r="B796" s="277"/>
      <c r="C796" s="267"/>
      <c r="E796" s="266"/>
      <c r="F796" s="266"/>
      <c r="G796" s="266"/>
    </row>
    <row r="797" spans="1:7" x14ac:dyDescent="0.25">
      <c r="A797" s="273"/>
      <c r="B797" s="277"/>
      <c r="C797" s="267"/>
      <c r="E797" s="266"/>
      <c r="F797" s="266"/>
      <c r="G797" s="266"/>
    </row>
    <row r="798" spans="1:7" x14ac:dyDescent="0.25">
      <c r="A798" s="273"/>
      <c r="B798" s="277"/>
      <c r="C798" s="267"/>
      <c r="E798" s="266"/>
      <c r="F798" s="266"/>
      <c r="G798" s="266"/>
    </row>
    <row r="799" spans="1:7" x14ac:dyDescent="0.25">
      <c r="A799" s="273"/>
      <c r="B799" s="277"/>
      <c r="C799" s="267"/>
      <c r="E799" s="266"/>
      <c r="F799" s="266"/>
      <c r="G799" s="266"/>
    </row>
    <row r="800" spans="1:7" x14ac:dyDescent="0.25">
      <c r="A800" s="273"/>
      <c r="B800" s="277"/>
      <c r="C800" s="267"/>
      <c r="E800" s="266"/>
      <c r="F800" s="266"/>
      <c r="G800" s="266"/>
    </row>
    <row r="801" spans="1:7" x14ac:dyDescent="0.25">
      <c r="A801" s="273"/>
      <c r="B801" s="277"/>
      <c r="C801" s="267"/>
      <c r="E801" s="266"/>
      <c r="F801" s="266"/>
      <c r="G801" s="266"/>
    </row>
    <row r="802" spans="1:7" x14ac:dyDescent="0.25">
      <c r="A802" s="273"/>
      <c r="B802" s="277"/>
      <c r="C802" s="267"/>
      <c r="E802" s="266"/>
      <c r="F802" s="266"/>
      <c r="G802" s="266"/>
    </row>
    <row r="803" spans="1:7" x14ac:dyDescent="0.25">
      <c r="A803" s="273"/>
      <c r="B803" s="277"/>
      <c r="C803" s="267"/>
      <c r="E803" s="266"/>
      <c r="F803" s="266"/>
      <c r="G803" s="266"/>
    </row>
    <row r="804" spans="1:7" x14ac:dyDescent="0.25">
      <c r="A804" s="273"/>
      <c r="B804" s="277"/>
      <c r="C804" s="267"/>
      <c r="E804" s="266"/>
      <c r="F804" s="266"/>
      <c r="G804" s="266"/>
    </row>
    <row r="805" spans="1:7" x14ac:dyDescent="0.25">
      <c r="A805" s="273"/>
      <c r="B805" s="277"/>
      <c r="C805" s="267"/>
      <c r="E805" s="266"/>
      <c r="F805" s="266"/>
      <c r="G805" s="266"/>
    </row>
    <row r="806" spans="1:7" x14ac:dyDescent="0.25">
      <c r="A806" s="273"/>
      <c r="B806" s="277"/>
      <c r="C806" s="267"/>
      <c r="E806" s="266"/>
      <c r="F806" s="266"/>
      <c r="G806" s="266"/>
    </row>
    <row r="807" spans="1:7" x14ac:dyDescent="0.25">
      <c r="A807" s="273"/>
      <c r="B807" s="277"/>
      <c r="C807" s="267"/>
      <c r="E807" s="266"/>
      <c r="F807" s="266"/>
      <c r="G807" s="266"/>
    </row>
    <row r="808" spans="1:7" x14ac:dyDescent="0.25">
      <c r="A808" s="273"/>
      <c r="B808" s="277"/>
      <c r="C808" s="267"/>
      <c r="E808" s="266"/>
      <c r="F808" s="266"/>
      <c r="G808" s="266"/>
    </row>
    <row r="809" spans="1:7" x14ac:dyDescent="0.25">
      <c r="A809" s="273"/>
      <c r="B809" s="277"/>
      <c r="C809" s="267"/>
      <c r="E809" s="266"/>
      <c r="F809" s="266"/>
      <c r="G809" s="266"/>
    </row>
    <row r="810" spans="1:7" x14ac:dyDescent="0.25">
      <c r="A810" s="273"/>
      <c r="B810" s="277"/>
      <c r="C810" s="267"/>
      <c r="E810" s="266"/>
      <c r="F810" s="266"/>
      <c r="G810" s="266"/>
    </row>
    <row r="811" spans="1:7" x14ac:dyDescent="0.25">
      <c r="A811" s="273"/>
      <c r="B811" s="277"/>
      <c r="C811" s="267"/>
      <c r="E811" s="266"/>
      <c r="F811" s="266"/>
      <c r="G811" s="266"/>
    </row>
    <row r="812" spans="1:7" x14ac:dyDescent="0.25">
      <c r="A812" s="273"/>
      <c r="B812" s="277"/>
      <c r="C812" s="267"/>
      <c r="E812" s="266"/>
      <c r="F812" s="266"/>
      <c r="G812" s="266"/>
    </row>
    <row r="813" spans="1:7" x14ac:dyDescent="0.25">
      <c r="A813" s="273"/>
      <c r="B813" s="277"/>
      <c r="C813" s="267"/>
      <c r="E813" s="266"/>
      <c r="F813" s="266"/>
      <c r="G813" s="266"/>
    </row>
    <row r="814" spans="1:7" x14ac:dyDescent="0.25">
      <c r="A814" s="273"/>
      <c r="B814" s="277"/>
      <c r="C814" s="267"/>
      <c r="E814" s="266"/>
      <c r="F814" s="266"/>
      <c r="G814" s="266"/>
    </row>
    <row r="815" spans="1:7" x14ac:dyDescent="0.25">
      <c r="A815" s="273"/>
      <c r="B815" s="277"/>
      <c r="C815" s="267"/>
      <c r="E815" s="266"/>
      <c r="F815" s="266"/>
      <c r="G815" s="266"/>
    </row>
    <row r="816" spans="1:7" x14ac:dyDescent="0.25">
      <c r="A816" s="273"/>
      <c r="B816" s="277"/>
      <c r="C816" s="267"/>
      <c r="E816" s="266"/>
      <c r="F816" s="266"/>
      <c r="G816" s="266"/>
    </row>
    <row r="817" spans="1:7" x14ac:dyDescent="0.25">
      <c r="A817" s="273"/>
      <c r="B817" s="277"/>
      <c r="C817" s="267"/>
      <c r="E817" s="266"/>
      <c r="F817" s="266"/>
      <c r="G817" s="266"/>
    </row>
    <row r="818" spans="1:7" x14ac:dyDescent="0.25">
      <c r="A818" s="273"/>
      <c r="B818" s="277"/>
      <c r="C818" s="267"/>
      <c r="E818" s="266"/>
      <c r="F818" s="266"/>
      <c r="G818" s="266"/>
    </row>
    <row r="819" spans="1:7" x14ac:dyDescent="0.25">
      <c r="A819" s="273"/>
      <c r="B819" s="277"/>
      <c r="C819" s="267"/>
      <c r="E819" s="266"/>
      <c r="F819" s="266"/>
      <c r="G819" s="266"/>
    </row>
    <row r="820" spans="1:7" x14ac:dyDescent="0.25">
      <c r="A820" s="273"/>
      <c r="B820" s="277"/>
      <c r="C820" s="267"/>
      <c r="E820" s="266"/>
      <c r="F820" s="266"/>
      <c r="G820" s="266"/>
    </row>
    <row r="821" spans="1:7" x14ac:dyDescent="0.25">
      <c r="A821" s="273"/>
      <c r="B821" s="277"/>
      <c r="C821" s="267"/>
      <c r="E821" s="266"/>
      <c r="F821" s="266"/>
      <c r="G821" s="266"/>
    </row>
    <row r="822" spans="1:7" x14ac:dyDescent="0.25">
      <c r="A822" s="273"/>
      <c r="B822" s="277"/>
      <c r="C822" s="267"/>
      <c r="E822" s="266"/>
      <c r="F822" s="266"/>
      <c r="G822" s="266"/>
    </row>
    <row r="823" spans="1:7" x14ac:dyDescent="0.25">
      <c r="A823" s="273"/>
      <c r="B823" s="277"/>
      <c r="C823" s="267"/>
      <c r="E823" s="266"/>
      <c r="F823" s="266"/>
      <c r="G823" s="266"/>
    </row>
    <row r="824" spans="1:7" x14ac:dyDescent="0.25">
      <c r="A824" s="273"/>
      <c r="B824" s="277"/>
      <c r="C824" s="267"/>
      <c r="E824" s="266"/>
      <c r="F824" s="266"/>
      <c r="G824" s="266"/>
    </row>
    <row r="825" spans="1:7" x14ac:dyDescent="0.25">
      <c r="A825" s="273"/>
      <c r="B825" s="277"/>
      <c r="C825" s="267"/>
      <c r="E825" s="266"/>
      <c r="F825" s="266"/>
      <c r="G825" s="266"/>
    </row>
    <row r="826" spans="1:7" x14ac:dyDescent="0.25">
      <c r="A826" s="273"/>
      <c r="B826" s="277"/>
      <c r="C826" s="267"/>
      <c r="E826" s="266"/>
      <c r="F826" s="266"/>
      <c r="G826" s="266"/>
    </row>
    <row r="827" spans="1:7" x14ac:dyDescent="0.25">
      <c r="A827" s="273"/>
      <c r="B827" s="277"/>
      <c r="C827" s="267"/>
      <c r="E827" s="266"/>
      <c r="F827" s="266"/>
      <c r="G827" s="266"/>
    </row>
    <row r="828" spans="1:7" x14ac:dyDescent="0.25">
      <c r="A828" s="273"/>
      <c r="B828" s="277"/>
      <c r="C828" s="267"/>
      <c r="E828" s="266"/>
      <c r="F828" s="266"/>
      <c r="G828" s="266"/>
    </row>
    <row r="829" spans="1:7" x14ac:dyDescent="0.25">
      <c r="A829" s="273"/>
      <c r="B829" s="277"/>
      <c r="C829" s="267"/>
      <c r="E829" s="266"/>
      <c r="F829" s="266"/>
      <c r="G829" s="266"/>
    </row>
    <row r="830" spans="1:7" x14ac:dyDescent="0.25">
      <c r="A830" s="273"/>
      <c r="B830" s="277"/>
      <c r="C830" s="267"/>
      <c r="E830" s="266"/>
      <c r="F830" s="266"/>
      <c r="G830" s="266"/>
    </row>
    <row r="831" spans="1:7" x14ac:dyDescent="0.25">
      <c r="A831" s="273"/>
      <c r="B831" s="277"/>
      <c r="C831" s="267"/>
      <c r="E831" s="266"/>
      <c r="F831" s="266"/>
      <c r="G831" s="266"/>
    </row>
    <row r="832" spans="1:7" x14ac:dyDescent="0.25">
      <c r="A832" s="273"/>
      <c r="B832" s="277"/>
      <c r="C832" s="267"/>
      <c r="E832" s="266"/>
      <c r="F832" s="266"/>
      <c r="G832" s="266"/>
    </row>
    <row r="833" spans="1:7" x14ac:dyDescent="0.25">
      <c r="A833" s="273"/>
      <c r="B833" s="277"/>
      <c r="C833" s="267"/>
      <c r="E833" s="266"/>
      <c r="F833" s="266"/>
      <c r="G833" s="266"/>
    </row>
    <row r="834" spans="1:7" x14ac:dyDescent="0.25">
      <c r="A834" s="273"/>
      <c r="B834" s="277"/>
      <c r="C834" s="267"/>
      <c r="E834" s="266"/>
      <c r="F834" s="266"/>
      <c r="G834" s="266"/>
    </row>
    <row r="835" spans="1:7" x14ac:dyDescent="0.25">
      <c r="A835" s="273"/>
      <c r="B835" s="277"/>
      <c r="C835" s="267"/>
      <c r="E835" s="266"/>
      <c r="F835" s="266"/>
      <c r="G835" s="266"/>
    </row>
    <row r="836" spans="1:7" x14ac:dyDescent="0.25">
      <c r="A836" s="273"/>
      <c r="B836" s="277"/>
      <c r="C836" s="267"/>
      <c r="E836" s="266"/>
      <c r="F836" s="266"/>
      <c r="G836" s="266"/>
    </row>
    <row r="837" spans="1:7" x14ac:dyDescent="0.25">
      <c r="A837" s="273"/>
      <c r="B837" s="277"/>
      <c r="C837" s="267"/>
      <c r="E837" s="266"/>
      <c r="F837" s="266"/>
      <c r="G837" s="266"/>
    </row>
    <row r="838" spans="1:7" x14ac:dyDescent="0.25">
      <c r="A838" s="273"/>
      <c r="B838" s="277"/>
      <c r="C838" s="267"/>
      <c r="E838" s="266"/>
      <c r="F838" s="266"/>
      <c r="G838" s="266"/>
    </row>
    <row r="839" spans="1:7" x14ac:dyDescent="0.25">
      <c r="A839" s="273"/>
      <c r="B839" s="277"/>
      <c r="C839" s="267"/>
      <c r="E839" s="266"/>
      <c r="F839" s="266"/>
      <c r="G839" s="266"/>
    </row>
    <row r="840" spans="1:7" x14ac:dyDescent="0.25">
      <c r="A840" s="273"/>
      <c r="B840" s="277"/>
      <c r="C840" s="267"/>
      <c r="E840" s="266"/>
      <c r="F840" s="266"/>
      <c r="G840" s="266"/>
    </row>
    <row r="841" spans="1:7" x14ac:dyDescent="0.25">
      <c r="A841" s="273"/>
      <c r="B841" s="277"/>
      <c r="C841" s="267"/>
      <c r="E841" s="266"/>
      <c r="F841" s="266"/>
      <c r="G841" s="266"/>
    </row>
    <row r="842" spans="1:7" x14ac:dyDescent="0.25">
      <c r="A842" s="273"/>
      <c r="B842" s="277"/>
      <c r="C842" s="267"/>
      <c r="E842" s="266"/>
      <c r="F842" s="266"/>
      <c r="G842" s="266"/>
    </row>
    <row r="843" spans="1:7" x14ac:dyDescent="0.25">
      <c r="A843" s="273"/>
      <c r="B843" s="277"/>
      <c r="C843" s="267"/>
      <c r="E843" s="266"/>
      <c r="F843" s="266"/>
      <c r="G843" s="266"/>
    </row>
    <row r="844" spans="1:7" x14ac:dyDescent="0.25">
      <c r="A844" s="273"/>
      <c r="B844" s="277"/>
      <c r="C844" s="267"/>
      <c r="E844" s="266"/>
      <c r="F844" s="266"/>
      <c r="G844" s="266"/>
    </row>
    <row r="845" spans="1:7" x14ac:dyDescent="0.25">
      <c r="A845" s="273"/>
      <c r="B845" s="277"/>
      <c r="C845" s="267"/>
      <c r="E845" s="266"/>
      <c r="F845" s="266"/>
      <c r="G845" s="266"/>
    </row>
    <row r="846" spans="1:7" x14ac:dyDescent="0.25">
      <c r="A846" s="273"/>
      <c r="B846" s="277"/>
      <c r="C846" s="267"/>
      <c r="E846" s="266"/>
      <c r="F846" s="266"/>
      <c r="G846" s="266"/>
    </row>
    <row r="847" spans="1:7" x14ac:dyDescent="0.25">
      <c r="A847" s="273"/>
      <c r="B847" s="277"/>
      <c r="C847" s="267"/>
      <c r="E847" s="266"/>
      <c r="F847" s="266"/>
      <c r="G847" s="266"/>
    </row>
    <row r="848" spans="1:7" x14ac:dyDescent="0.25">
      <c r="A848" s="273"/>
      <c r="B848" s="277"/>
      <c r="C848" s="267"/>
      <c r="E848" s="266"/>
      <c r="F848" s="266"/>
      <c r="G848" s="266"/>
    </row>
    <row r="849" spans="1:7" x14ac:dyDescent="0.25">
      <c r="A849" s="273"/>
      <c r="B849" s="277"/>
      <c r="C849" s="267"/>
      <c r="E849" s="266"/>
      <c r="F849" s="266"/>
      <c r="G849" s="266"/>
    </row>
    <row r="850" spans="1:7" x14ac:dyDescent="0.25">
      <c r="A850" s="273"/>
      <c r="B850" s="277"/>
      <c r="C850" s="267"/>
      <c r="E850" s="266"/>
      <c r="F850" s="266"/>
      <c r="G850" s="266"/>
    </row>
    <row r="851" spans="1:7" x14ac:dyDescent="0.25">
      <c r="A851" s="273"/>
      <c r="B851" s="277"/>
      <c r="C851" s="267"/>
      <c r="E851" s="266"/>
      <c r="F851" s="266"/>
      <c r="G851" s="266"/>
    </row>
    <row r="852" spans="1:7" x14ac:dyDescent="0.25">
      <c r="A852" s="273"/>
      <c r="B852" s="277"/>
      <c r="C852" s="267"/>
      <c r="E852" s="266"/>
      <c r="F852" s="266"/>
      <c r="G852" s="266"/>
    </row>
    <row r="853" spans="1:7" x14ac:dyDescent="0.25">
      <c r="A853" s="273"/>
      <c r="B853" s="277"/>
      <c r="C853" s="267"/>
      <c r="E853" s="266"/>
      <c r="F853" s="266"/>
      <c r="G853" s="266"/>
    </row>
    <row r="854" spans="1:7" x14ac:dyDescent="0.25">
      <c r="A854" s="273"/>
      <c r="B854" s="277"/>
      <c r="C854" s="267"/>
      <c r="E854" s="266"/>
      <c r="F854" s="266"/>
      <c r="G854" s="266"/>
    </row>
    <row r="855" spans="1:7" x14ac:dyDescent="0.25">
      <c r="A855" s="273"/>
      <c r="B855" s="277"/>
      <c r="C855" s="267"/>
      <c r="E855" s="266"/>
      <c r="F855" s="266"/>
      <c r="G855" s="266"/>
    </row>
    <row r="856" spans="1:7" x14ac:dyDescent="0.25">
      <c r="A856" s="273"/>
      <c r="B856" s="277"/>
      <c r="C856" s="267"/>
      <c r="E856" s="266"/>
      <c r="F856" s="266"/>
      <c r="G856" s="266"/>
    </row>
    <row r="857" spans="1:7" x14ac:dyDescent="0.25">
      <c r="A857" s="273"/>
      <c r="B857" s="277"/>
      <c r="C857" s="267"/>
      <c r="E857" s="266"/>
      <c r="F857" s="266"/>
      <c r="G857" s="266"/>
    </row>
    <row r="858" spans="1:7" x14ac:dyDescent="0.25">
      <c r="A858" s="273"/>
      <c r="B858" s="277"/>
      <c r="C858" s="267"/>
      <c r="E858" s="266"/>
      <c r="F858" s="266"/>
      <c r="G858" s="266"/>
    </row>
    <row r="859" spans="1:7" x14ac:dyDescent="0.25">
      <c r="A859" s="273"/>
      <c r="B859" s="277"/>
      <c r="C859" s="267"/>
      <c r="E859" s="266"/>
      <c r="F859" s="266"/>
      <c r="G859" s="266"/>
    </row>
    <row r="860" spans="1:7" x14ac:dyDescent="0.25">
      <c r="A860" s="273"/>
      <c r="B860" s="277"/>
      <c r="C860" s="267"/>
      <c r="E860" s="266"/>
      <c r="F860" s="266"/>
      <c r="G860" s="266"/>
    </row>
    <row r="861" spans="1:7" x14ac:dyDescent="0.25">
      <c r="A861" s="273"/>
      <c r="B861" s="277"/>
      <c r="C861" s="267"/>
      <c r="E861" s="266"/>
      <c r="F861" s="266"/>
      <c r="G861" s="266"/>
    </row>
    <row r="862" spans="1:7" x14ac:dyDescent="0.25">
      <c r="A862" s="273"/>
      <c r="B862" s="277"/>
      <c r="C862" s="267"/>
      <c r="E862" s="266"/>
      <c r="F862" s="266"/>
      <c r="G862" s="266"/>
    </row>
    <row r="863" spans="1:7" x14ac:dyDescent="0.25">
      <c r="A863" s="273"/>
      <c r="B863" s="277"/>
      <c r="C863" s="267"/>
      <c r="E863" s="266"/>
      <c r="F863" s="266"/>
      <c r="G863" s="266"/>
    </row>
    <row r="864" spans="1:7" x14ac:dyDescent="0.25">
      <c r="A864" s="273"/>
      <c r="B864" s="277"/>
      <c r="C864" s="267"/>
      <c r="E864" s="266"/>
      <c r="F864" s="266"/>
      <c r="G864" s="266"/>
    </row>
    <row r="865" spans="1:7" x14ac:dyDescent="0.25">
      <c r="A865" s="273"/>
      <c r="B865" s="277"/>
      <c r="C865" s="267"/>
      <c r="E865" s="266"/>
      <c r="F865" s="266"/>
      <c r="G865" s="266"/>
    </row>
    <row r="866" spans="1:7" x14ac:dyDescent="0.25">
      <c r="A866" s="273"/>
      <c r="B866" s="277"/>
      <c r="C866" s="267"/>
      <c r="E866" s="266"/>
      <c r="F866" s="266"/>
      <c r="G866" s="266"/>
    </row>
    <row r="867" spans="1:7" x14ac:dyDescent="0.25">
      <c r="A867" s="273"/>
      <c r="B867" s="277"/>
      <c r="C867" s="267"/>
      <c r="E867" s="266"/>
      <c r="F867" s="266"/>
      <c r="G867" s="266"/>
    </row>
    <row r="868" spans="1:7" x14ac:dyDescent="0.25">
      <c r="A868" s="273"/>
      <c r="B868" s="277"/>
      <c r="C868" s="267"/>
      <c r="E868" s="266"/>
      <c r="F868" s="266"/>
      <c r="G868" s="266"/>
    </row>
    <row r="869" spans="1:7" x14ac:dyDescent="0.25">
      <c r="A869" s="273"/>
      <c r="B869" s="277"/>
      <c r="C869" s="267"/>
      <c r="E869" s="266"/>
      <c r="F869" s="266"/>
      <c r="G869" s="266"/>
    </row>
    <row r="870" spans="1:7" x14ac:dyDescent="0.25">
      <c r="A870" s="273"/>
      <c r="B870" s="277"/>
      <c r="C870" s="267"/>
      <c r="E870" s="266"/>
      <c r="F870" s="266"/>
      <c r="G870" s="266"/>
    </row>
    <row r="871" spans="1:7" x14ac:dyDescent="0.25">
      <c r="A871" s="273"/>
      <c r="B871" s="277"/>
      <c r="C871" s="267"/>
      <c r="E871" s="266"/>
      <c r="F871" s="266"/>
      <c r="G871" s="266"/>
    </row>
    <row r="872" spans="1:7" x14ac:dyDescent="0.25">
      <c r="A872" s="273"/>
      <c r="B872" s="277"/>
      <c r="C872" s="267"/>
      <c r="E872" s="266"/>
      <c r="F872" s="266"/>
      <c r="G872" s="266"/>
    </row>
    <row r="873" spans="1:7" x14ac:dyDescent="0.25">
      <c r="A873" s="273"/>
      <c r="B873" s="277"/>
      <c r="C873" s="267"/>
      <c r="E873" s="266"/>
      <c r="F873" s="266"/>
      <c r="G873" s="266"/>
    </row>
    <row r="874" spans="1:7" x14ac:dyDescent="0.25">
      <c r="A874" s="273"/>
      <c r="B874" s="277"/>
      <c r="C874" s="267"/>
      <c r="E874" s="266"/>
      <c r="F874" s="266"/>
      <c r="G874" s="266"/>
    </row>
    <row r="875" spans="1:7" x14ac:dyDescent="0.25">
      <c r="A875" s="273"/>
      <c r="B875" s="277"/>
      <c r="C875" s="267"/>
      <c r="E875" s="266"/>
      <c r="F875" s="266"/>
      <c r="G875" s="266"/>
    </row>
    <row r="876" spans="1:7" x14ac:dyDescent="0.25">
      <c r="A876" s="273"/>
      <c r="B876" s="277"/>
      <c r="C876" s="267"/>
      <c r="E876" s="266"/>
      <c r="F876" s="266"/>
      <c r="G876" s="266"/>
    </row>
    <row r="877" spans="1:7" x14ac:dyDescent="0.25">
      <c r="A877" s="273"/>
      <c r="B877" s="277"/>
      <c r="C877" s="267"/>
      <c r="E877" s="266"/>
      <c r="F877" s="266"/>
      <c r="G877" s="266"/>
    </row>
    <row r="878" spans="1:7" x14ac:dyDescent="0.25">
      <c r="A878" s="273"/>
      <c r="B878" s="277"/>
      <c r="C878" s="267"/>
      <c r="E878" s="266"/>
      <c r="F878" s="266"/>
      <c r="G878" s="266"/>
    </row>
    <row r="879" spans="1:7" x14ac:dyDescent="0.25">
      <c r="A879" s="273"/>
      <c r="B879" s="277"/>
      <c r="C879" s="267"/>
      <c r="E879" s="266"/>
      <c r="F879" s="266"/>
      <c r="G879" s="266"/>
    </row>
    <row r="880" spans="1:7" x14ac:dyDescent="0.25">
      <c r="A880" s="273"/>
      <c r="B880" s="277"/>
      <c r="C880" s="267"/>
      <c r="E880" s="266"/>
      <c r="F880" s="266"/>
      <c r="G880" s="266"/>
    </row>
    <row r="881" spans="1:7" x14ac:dyDescent="0.25">
      <c r="A881" s="273"/>
      <c r="B881" s="277"/>
      <c r="C881" s="267"/>
      <c r="E881" s="266"/>
      <c r="F881" s="266"/>
      <c r="G881" s="266"/>
    </row>
    <row r="882" spans="1:7" x14ac:dyDescent="0.25">
      <c r="A882" s="273"/>
      <c r="B882" s="277"/>
      <c r="C882" s="267"/>
      <c r="E882" s="266"/>
      <c r="F882" s="266"/>
      <c r="G882" s="266"/>
    </row>
    <row r="883" spans="1:7" x14ac:dyDescent="0.25">
      <c r="A883" s="273"/>
      <c r="B883" s="277"/>
      <c r="C883" s="267"/>
      <c r="E883" s="266"/>
      <c r="F883" s="266"/>
      <c r="G883" s="266"/>
    </row>
    <row r="884" spans="1:7" x14ac:dyDescent="0.25">
      <c r="A884" s="273"/>
      <c r="B884" s="277"/>
      <c r="C884" s="267"/>
      <c r="E884" s="266"/>
      <c r="F884" s="266"/>
      <c r="G884" s="266"/>
    </row>
    <row r="885" spans="1:7" x14ac:dyDescent="0.25">
      <c r="A885" s="273"/>
      <c r="B885" s="277"/>
      <c r="C885" s="267"/>
      <c r="E885" s="266"/>
      <c r="F885" s="266"/>
      <c r="G885" s="266"/>
    </row>
    <row r="886" spans="1:7" x14ac:dyDescent="0.25">
      <c r="A886" s="273"/>
      <c r="B886" s="277"/>
      <c r="C886" s="267"/>
      <c r="E886" s="266"/>
      <c r="F886" s="266"/>
      <c r="G886" s="266"/>
    </row>
    <row r="887" spans="1:7" x14ac:dyDescent="0.25">
      <c r="A887" s="273"/>
      <c r="B887" s="277"/>
      <c r="C887" s="267"/>
      <c r="E887" s="266"/>
      <c r="F887" s="266"/>
      <c r="G887" s="266"/>
    </row>
    <row r="888" spans="1:7" x14ac:dyDescent="0.25">
      <c r="A888" s="273"/>
      <c r="B888" s="277"/>
      <c r="C888" s="267"/>
      <c r="E888" s="266"/>
      <c r="F888" s="266"/>
      <c r="G888" s="266"/>
    </row>
    <row r="889" spans="1:7" x14ac:dyDescent="0.25">
      <c r="A889" s="273"/>
      <c r="B889" s="277"/>
      <c r="C889" s="267"/>
      <c r="E889" s="266"/>
      <c r="F889" s="266"/>
      <c r="G889" s="266"/>
    </row>
    <row r="890" spans="1:7" x14ac:dyDescent="0.25">
      <c r="A890" s="273"/>
      <c r="B890" s="277"/>
      <c r="C890" s="267"/>
      <c r="E890" s="266"/>
      <c r="F890" s="266"/>
      <c r="G890" s="266"/>
    </row>
    <row r="891" spans="1:7" x14ac:dyDescent="0.25">
      <c r="A891" s="273"/>
      <c r="B891" s="277"/>
      <c r="C891" s="267"/>
      <c r="E891" s="266"/>
      <c r="F891" s="266"/>
      <c r="G891" s="266"/>
    </row>
    <row r="892" spans="1:7" x14ac:dyDescent="0.25">
      <c r="A892" s="273"/>
      <c r="B892" s="277"/>
      <c r="C892" s="267"/>
      <c r="E892" s="266"/>
      <c r="F892" s="266"/>
      <c r="G892" s="266"/>
    </row>
    <row r="893" spans="1:7" x14ac:dyDescent="0.25">
      <c r="A893" s="273"/>
      <c r="B893" s="277"/>
      <c r="C893" s="267"/>
      <c r="E893" s="266"/>
      <c r="F893" s="266"/>
      <c r="G893" s="266"/>
    </row>
    <row r="894" spans="1:7" x14ac:dyDescent="0.25">
      <c r="A894" s="273"/>
      <c r="B894" s="277"/>
      <c r="C894" s="267"/>
      <c r="E894" s="266"/>
      <c r="F894" s="266"/>
      <c r="G894" s="266"/>
    </row>
    <row r="895" spans="1:7" x14ac:dyDescent="0.25">
      <c r="A895" s="273"/>
      <c r="B895" s="277"/>
      <c r="C895" s="267"/>
      <c r="E895" s="266"/>
      <c r="F895" s="266"/>
      <c r="G895" s="266"/>
    </row>
    <row r="896" spans="1:7" x14ac:dyDescent="0.25">
      <c r="A896" s="273"/>
      <c r="B896" s="277"/>
      <c r="C896" s="267"/>
      <c r="E896" s="266"/>
      <c r="F896" s="266"/>
      <c r="G896" s="266"/>
    </row>
    <row r="897" spans="1:7" x14ac:dyDescent="0.25">
      <c r="A897" s="273"/>
      <c r="B897" s="277"/>
      <c r="C897" s="267"/>
      <c r="E897" s="266"/>
      <c r="F897" s="266"/>
      <c r="G897" s="266"/>
    </row>
    <row r="898" spans="1:7" x14ac:dyDescent="0.25">
      <c r="A898" s="273"/>
      <c r="B898" s="277"/>
      <c r="C898" s="267"/>
      <c r="E898" s="266"/>
      <c r="F898" s="266"/>
      <c r="G898" s="266"/>
    </row>
    <row r="899" spans="1:7" x14ac:dyDescent="0.25">
      <c r="A899" s="273"/>
      <c r="B899" s="277"/>
      <c r="C899" s="267"/>
      <c r="E899" s="266"/>
      <c r="F899" s="266"/>
      <c r="G899" s="266"/>
    </row>
    <row r="900" spans="1:7" x14ac:dyDescent="0.25">
      <c r="A900" s="273"/>
      <c r="B900" s="277"/>
      <c r="C900" s="267"/>
      <c r="E900" s="266"/>
      <c r="F900" s="266"/>
      <c r="G900" s="266"/>
    </row>
    <row r="901" spans="1:7" x14ac:dyDescent="0.25">
      <c r="A901" s="273"/>
      <c r="B901" s="277"/>
      <c r="C901" s="267"/>
      <c r="E901" s="266"/>
      <c r="F901" s="266"/>
      <c r="G901" s="266"/>
    </row>
    <row r="902" spans="1:7" x14ac:dyDescent="0.25">
      <c r="A902" s="273"/>
      <c r="B902" s="277"/>
      <c r="C902" s="267"/>
      <c r="E902" s="266"/>
      <c r="F902" s="266"/>
      <c r="G902" s="266"/>
    </row>
    <row r="903" spans="1:7" x14ac:dyDescent="0.25">
      <c r="A903" s="273"/>
      <c r="B903" s="277"/>
      <c r="C903" s="267"/>
      <c r="E903" s="266"/>
      <c r="F903" s="266"/>
      <c r="G903" s="266"/>
    </row>
    <row r="904" spans="1:7" x14ac:dyDescent="0.25">
      <c r="A904" s="273"/>
      <c r="B904" s="277"/>
      <c r="C904" s="267"/>
      <c r="E904" s="266"/>
      <c r="F904" s="266"/>
      <c r="G904" s="266"/>
    </row>
    <row r="905" spans="1:7" x14ac:dyDescent="0.25">
      <c r="A905" s="273"/>
      <c r="B905" s="277"/>
      <c r="C905" s="267"/>
      <c r="E905" s="266"/>
      <c r="F905" s="266"/>
      <c r="G905" s="266"/>
    </row>
    <row r="906" spans="1:7" x14ac:dyDescent="0.25">
      <c r="A906" s="273"/>
      <c r="B906" s="277"/>
      <c r="C906" s="267"/>
      <c r="E906" s="266"/>
      <c r="F906" s="266"/>
      <c r="G906" s="266"/>
    </row>
    <row r="907" spans="1:7" x14ac:dyDescent="0.25">
      <c r="A907" s="273"/>
      <c r="B907" s="277"/>
      <c r="C907" s="267"/>
      <c r="E907" s="266"/>
      <c r="F907" s="266"/>
      <c r="G907" s="266"/>
    </row>
    <row r="908" spans="1:7" x14ac:dyDescent="0.25">
      <c r="A908" s="273"/>
      <c r="B908" s="277"/>
      <c r="C908" s="267"/>
      <c r="E908" s="266"/>
      <c r="F908" s="266"/>
      <c r="G908" s="266"/>
    </row>
    <row r="909" spans="1:7" x14ac:dyDescent="0.25">
      <c r="A909" s="273"/>
      <c r="B909" s="277"/>
      <c r="C909" s="267"/>
      <c r="E909" s="266"/>
      <c r="F909" s="266"/>
      <c r="G909" s="266"/>
    </row>
    <row r="910" spans="1:7" x14ac:dyDescent="0.25">
      <c r="A910" s="273"/>
      <c r="B910" s="277"/>
      <c r="C910" s="267"/>
      <c r="E910" s="266"/>
      <c r="F910" s="266"/>
      <c r="G910" s="266"/>
    </row>
    <row r="911" spans="1:7" x14ac:dyDescent="0.25">
      <c r="A911" s="273"/>
      <c r="B911" s="277"/>
      <c r="C911" s="267"/>
      <c r="E911" s="266"/>
      <c r="F911" s="266"/>
      <c r="G911" s="266"/>
    </row>
    <row r="912" spans="1:7" x14ac:dyDescent="0.25">
      <c r="A912" s="273"/>
      <c r="B912" s="277"/>
      <c r="C912" s="267"/>
      <c r="E912" s="266"/>
      <c r="F912" s="266"/>
      <c r="G912" s="266"/>
    </row>
    <row r="913" spans="1:7" x14ac:dyDescent="0.25">
      <c r="A913" s="273"/>
      <c r="B913" s="277"/>
      <c r="C913" s="267"/>
      <c r="E913" s="266"/>
      <c r="F913" s="266"/>
      <c r="G913" s="266"/>
    </row>
    <row r="914" spans="1:7" x14ac:dyDescent="0.25">
      <c r="A914" s="273"/>
      <c r="B914" s="277"/>
      <c r="C914" s="267"/>
      <c r="E914" s="266"/>
      <c r="F914" s="266"/>
      <c r="G914" s="266"/>
    </row>
    <row r="915" spans="1:7" x14ac:dyDescent="0.25">
      <c r="A915" s="273"/>
      <c r="B915" s="277"/>
      <c r="C915" s="267"/>
      <c r="E915" s="266"/>
      <c r="F915" s="266"/>
      <c r="G915" s="266"/>
    </row>
    <row r="916" spans="1:7" x14ac:dyDescent="0.25">
      <c r="A916" s="273"/>
      <c r="B916" s="277"/>
      <c r="C916" s="267"/>
      <c r="E916" s="266"/>
      <c r="F916" s="266"/>
      <c r="G916" s="266"/>
    </row>
    <row r="917" spans="1:7" x14ac:dyDescent="0.25">
      <c r="A917" s="273"/>
      <c r="B917" s="277"/>
      <c r="C917" s="267"/>
      <c r="E917" s="266"/>
      <c r="F917" s="266"/>
      <c r="G917" s="266"/>
    </row>
    <row r="918" spans="1:7" x14ac:dyDescent="0.25">
      <c r="A918" s="274"/>
      <c r="B918" s="277"/>
      <c r="C918" s="267"/>
      <c r="E918" s="266"/>
      <c r="F918" s="266"/>
      <c r="G918" s="266"/>
    </row>
    <row r="919" spans="1:7" x14ac:dyDescent="0.25">
      <c r="A919" s="274"/>
      <c r="B919" s="277"/>
      <c r="C919" s="267"/>
      <c r="E919" s="266"/>
      <c r="F919" s="266"/>
      <c r="G919" s="266"/>
    </row>
    <row r="920" spans="1:7" x14ac:dyDescent="0.25">
      <c r="A920" s="274"/>
      <c r="B920" s="277"/>
      <c r="C920" s="267"/>
      <c r="E920" s="266"/>
      <c r="F920" s="266"/>
      <c r="G920" s="266"/>
    </row>
    <row r="921" spans="1:7" x14ac:dyDescent="0.25">
      <c r="A921" s="274"/>
      <c r="B921" s="277"/>
      <c r="C921" s="267"/>
      <c r="E921" s="266"/>
      <c r="F921" s="266"/>
      <c r="G921" s="266"/>
    </row>
    <row r="922" spans="1:7" x14ac:dyDescent="0.25">
      <c r="A922" s="274"/>
      <c r="B922" s="277"/>
      <c r="C922" s="267"/>
      <c r="E922" s="266"/>
      <c r="F922" s="266"/>
      <c r="G922" s="266"/>
    </row>
    <row r="923" spans="1:7" x14ac:dyDescent="0.25">
      <c r="A923" s="274"/>
      <c r="B923" s="277"/>
      <c r="C923" s="267"/>
      <c r="E923" s="266"/>
      <c r="F923" s="266"/>
      <c r="G923" s="266"/>
    </row>
    <row r="924" spans="1:7" x14ac:dyDescent="0.25">
      <c r="A924" s="274"/>
      <c r="B924" s="277"/>
      <c r="C924" s="267"/>
      <c r="E924" s="266"/>
      <c r="F924" s="266"/>
      <c r="G924" s="266"/>
    </row>
    <row r="925" spans="1:7" x14ac:dyDescent="0.25">
      <c r="A925" s="274"/>
      <c r="B925" s="277"/>
      <c r="C925" s="267"/>
      <c r="E925" s="266"/>
      <c r="F925" s="266"/>
      <c r="G925" s="266"/>
    </row>
    <row r="926" spans="1:7" x14ac:dyDescent="0.25">
      <c r="A926" s="274"/>
      <c r="B926" s="277"/>
      <c r="C926" s="267"/>
      <c r="E926" s="266"/>
      <c r="F926" s="266"/>
      <c r="G926" s="266"/>
    </row>
    <row r="927" spans="1:7" x14ac:dyDescent="0.25">
      <c r="A927" s="274"/>
      <c r="B927" s="277"/>
      <c r="C927" s="267"/>
      <c r="E927" s="266"/>
      <c r="F927" s="266"/>
      <c r="G927" s="266"/>
    </row>
    <row r="928" spans="1:7" x14ac:dyDescent="0.25">
      <c r="A928" s="274"/>
      <c r="B928" s="277"/>
      <c r="C928" s="267"/>
      <c r="E928" s="266"/>
      <c r="F928" s="266"/>
      <c r="G928" s="266"/>
    </row>
    <row r="929" spans="1:7" x14ac:dyDescent="0.25">
      <c r="A929" s="274"/>
      <c r="B929" s="277"/>
      <c r="C929" s="267"/>
      <c r="E929" s="266"/>
      <c r="F929" s="266"/>
      <c r="G929" s="266"/>
    </row>
    <row r="930" spans="1:7" x14ac:dyDescent="0.25">
      <c r="A930" s="274"/>
      <c r="B930" s="277"/>
      <c r="C930" s="267"/>
      <c r="E930" s="266"/>
      <c r="F930" s="266"/>
      <c r="G930" s="266"/>
    </row>
    <row r="931" spans="1:7" x14ac:dyDescent="0.25">
      <c r="A931" s="274"/>
      <c r="B931" s="277"/>
      <c r="C931" s="267"/>
      <c r="E931" s="266"/>
      <c r="F931" s="266"/>
      <c r="G931" s="266"/>
    </row>
    <row r="932" spans="1:7" x14ac:dyDescent="0.25">
      <c r="A932" s="49"/>
      <c r="B932" s="48"/>
      <c r="C932" s="267"/>
      <c r="E932" s="266"/>
      <c r="F932" s="266"/>
      <c r="G932" s="266"/>
    </row>
    <row r="933" spans="1:7" x14ac:dyDescent="0.25">
      <c r="A933" s="312"/>
      <c r="B933" s="313"/>
      <c r="C933" s="314"/>
      <c r="E933" s="266"/>
      <c r="F933" s="266"/>
      <c r="G933" s="266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4525-68C9-44C5-A59D-820E37D0BB1F}">
  <sheetPr codeName="Sheet8">
    <tabColor theme="0"/>
  </sheetPr>
  <dimension ref="A1:B5"/>
  <sheetViews>
    <sheetView workbookViewId="0">
      <selection activeCell="B5" sqref="B5"/>
    </sheetView>
  </sheetViews>
  <sheetFormatPr defaultRowHeight="15" x14ac:dyDescent="0.25"/>
  <cols>
    <col min="1" max="1" width="25.85546875" customWidth="1"/>
    <col min="2" max="2" width="19.28515625" customWidth="1"/>
  </cols>
  <sheetData>
    <row r="1" spans="1:2" x14ac:dyDescent="0.25">
      <c r="A1" s="184" t="s">
        <v>90</v>
      </c>
      <c r="B1" s="125" t="s">
        <v>479</v>
      </c>
    </row>
    <row r="2" spans="1:2" ht="15.75" thickBot="1" x14ac:dyDescent="0.3">
      <c r="A2" s="185" t="s">
        <v>91</v>
      </c>
      <c r="B2" s="26"/>
    </row>
    <row r="3" spans="1:2" x14ac:dyDescent="0.25">
      <c r="A3" s="186" t="s">
        <v>92</v>
      </c>
      <c r="B3" s="27"/>
    </row>
    <row r="4" spans="1:2" x14ac:dyDescent="0.25">
      <c r="A4" s="187" t="s">
        <v>93</v>
      </c>
      <c r="B4" s="241">
        <v>45167</v>
      </c>
    </row>
    <row r="5" spans="1:2" ht="15.75" thickBot="1" x14ac:dyDescent="0.3">
      <c r="A5" s="188" t="s">
        <v>94</v>
      </c>
      <c r="B5" s="28" t="s">
        <v>480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32AF-2E4B-4A45-A64C-9BFC108BE9D9}">
  <sheetPr codeName="Sheet1">
    <tabColor theme="3"/>
  </sheetPr>
  <dimension ref="A1:O675"/>
  <sheetViews>
    <sheetView showGridLines="0" zoomScale="85" zoomScaleNormal="85" workbookViewId="0">
      <selection activeCell="B21" sqref="B21"/>
    </sheetView>
  </sheetViews>
  <sheetFormatPr defaultColWidth="17.28515625" defaultRowHeight="15.95" customHeight="1" x14ac:dyDescent="0.25"/>
  <cols>
    <col min="1" max="1" width="5.7109375" style="40" customWidth="1"/>
    <col min="2" max="2" width="51.5703125" style="46" customWidth="1"/>
    <col min="3" max="3" width="33.7109375" style="47" customWidth="1"/>
    <col min="4" max="4" width="37.42578125" style="41" customWidth="1"/>
    <col min="5" max="15" width="17.28515625" style="41"/>
    <col min="16" max="16384" width="17.28515625" style="31"/>
  </cols>
  <sheetData>
    <row r="1" spans="1:3" ht="39" customHeight="1" x14ac:dyDescent="0.25">
      <c r="A1" s="242" t="s">
        <v>0</v>
      </c>
      <c r="B1" s="243" t="s">
        <v>259</v>
      </c>
      <c r="C1" s="243" t="s">
        <v>1</v>
      </c>
    </row>
    <row r="2" spans="1:3" ht="15.95" customHeight="1" x14ac:dyDescent="0.25">
      <c r="A2" s="244">
        <v>1</v>
      </c>
      <c r="B2" s="245" t="s">
        <v>465</v>
      </c>
      <c r="C2" t="str">
        <f>IFERROR(INDEX(Lista_materiales!A2:A82, MATCH(B2, Lista_materiales!B2:B82, 0)), "")</f>
        <v/>
      </c>
    </row>
    <row r="3" spans="1:3" ht="15.95" customHeight="1" x14ac:dyDescent="0.25">
      <c r="A3" s="244">
        <v>2</v>
      </c>
      <c r="B3" s="245" t="s">
        <v>312</v>
      </c>
      <c r="C3" s="245" t="str">
        <f>IFERROR(INDEX(Lista_materiales!A3:A83, MATCH(B3, Lista_materiales!B3:B84, 0)), "")</f>
        <v>1200058</v>
      </c>
    </row>
    <row r="4" spans="1:3" ht="15.95" customHeight="1" x14ac:dyDescent="0.25">
      <c r="A4" s="244">
        <v>3</v>
      </c>
      <c r="B4" s="246" t="s">
        <v>318</v>
      </c>
      <c r="C4" s="247" t="str">
        <f>IFERROR(INDEX(Lista_materiales!A4:A84, MATCH(B4, Lista_materiales!B4:B84, 0)), "")</f>
        <v>1200066</v>
      </c>
    </row>
    <row r="5" spans="1:3" ht="15.95" customHeight="1" x14ac:dyDescent="0.25">
      <c r="A5" s="244">
        <v>4</v>
      </c>
      <c r="B5" s="245" t="s">
        <v>466</v>
      </c>
      <c r="C5" s="245" t="str">
        <f>IFERROR(INDEX(Lista_materiales!A5:A85, MATCH(B5, Lista_materiales!B5:B85, 0)), "")</f>
        <v/>
      </c>
    </row>
    <row r="6" spans="1:3" ht="15.95" customHeight="1" x14ac:dyDescent="0.25">
      <c r="A6" s="244">
        <v>5</v>
      </c>
      <c r="B6" s="245" t="s">
        <v>255</v>
      </c>
      <c r="C6" s="245" t="str">
        <f>IFERROR(INDEX(Lista_materiales!A6:A86, MATCH(B6, Lista_materiales!B6:B91, 0)), "")</f>
        <v/>
      </c>
    </row>
    <row r="7" spans="1:3" ht="15.95" customHeight="1" x14ac:dyDescent="0.25">
      <c r="A7" s="244">
        <v>6</v>
      </c>
      <c r="B7" s="245" t="s">
        <v>331</v>
      </c>
      <c r="C7" s="245" t="str">
        <f>IFERROR(INDEX(Lista_materiales!A7:A87, MATCH(B7, Lista_materiales!B7:B87, 0)), "")</f>
        <v/>
      </c>
    </row>
    <row r="8" spans="1:3" ht="15.95" customHeight="1" x14ac:dyDescent="0.25">
      <c r="A8" s="244">
        <v>7</v>
      </c>
      <c r="B8" s="245" t="s">
        <v>467</v>
      </c>
      <c r="C8" s="245" t="str">
        <f>IFERROR(INDEX(Lista_materiales!A8:A88, MATCH(B8, Lista_materiales!B8:B91, 0)), "")</f>
        <v/>
      </c>
    </row>
    <row r="9" spans="1:3" ht="15.95" customHeight="1" x14ac:dyDescent="0.25">
      <c r="A9" s="244">
        <v>8</v>
      </c>
      <c r="B9" s="245" t="s">
        <v>468</v>
      </c>
      <c r="C9" s="245" t="str">
        <f>IFERROR(INDEX(Lista_materiales!A9:A89, MATCH(B9, Lista_materiales!B9:B92, 0)), "")</f>
        <v/>
      </c>
    </row>
    <row r="10" spans="1:3" ht="15.95" customHeight="1" x14ac:dyDescent="0.25">
      <c r="A10" s="244">
        <v>9</v>
      </c>
      <c r="B10" s="245" t="s">
        <v>469</v>
      </c>
      <c r="C10" s="245">
        <f>IFERROR(INDEX(Lista_materiales!A10:A90, MATCH(B10, Lista_materiales!B10:B89, 0)), "")</f>
        <v>0</v>
      </c>
    </row>
    <row r="11" spans="1:3" customFormat="1" ht="15.95" customHeight="1" x14ac:dyDescent="0.25">
      <c r="A11" s="244">
        <v>10</v>
      </c>
      <c r="B11" s="243" t="s">
        <v>470</v>
      </c>
      <c r="C11" s="243" t="str">
        <f>IFERROR(INDEX(Lista_materiales!A11:A91, MATCH(B11, Lista_materiales!B11:B89, 0)), "")</f>
        <v/>
      </c>
    </row>
    <row r="12" spans="1:3" customFormat="1" ht="15.95" customHeight="1" x14ac:dyDescent="0.25">
      <c r="A12" s="244">
        <v>11</v>
      </c>
      <c r="B12" s="243" t="s">
        <v>471</v>
      </c>
      <c r="C12" s="243">
        <f>IFERROR(INDEX(Lista_materiales!A12:A92, MATCH(B12, Lista_materiales!B12:B93, 0)), "")</f>
        <v>0</v>
      </c>
    </row>
    <row r="13" spans="1:3" customFormat="1" ht="15.95" customHeight="1" x14ac:dyDescent="0.25">
      <c r="A13" s="244">
        <v>12</v>
      </c>
      <c r="B13" s="243" t="s">
        <v>472</v>
      </c>
      <c r="C13" s="243">
        <f>IFERROR(INDEX(Lista_materiales!A13:A93, MATCH(B13, Lista_materiales!B13:B93, 0)), "")</f>
        <v>0</v>
      </c>
    </row>
    <row r="14" spans="1:3" customFormat="1" ht="15.95" customHeight="1" x14ac:dyDescent="0.25">
      <c r="A14" s="244">
        <v>13</v>
      </c>
      <c r="B14" s="243" t="s">
        <v>473</v>
      </c>
      <c r="C14" s="243">
        <f>IFERROR(INDEX(Lista_materiales!A14:A94, MATCH(B14, Lista_materiales!B14:B93, 0)), "")</f>
        <v>0</v>
      </c>
    </row>
    <row r="15" spans="1:3" customFormat="1" ht="15.95" customHeight="1" x14ac:dyDescent="0.25">
      <c r="A15" s="244">
        <v>14</v>
      </c>
      <c r="B15" s="243" t="s">
        <v>474</v>
      </c>
      <c r="C15" s="243">
        <f>IFERROR(INDEX(Lista_materiales!A15:A95, MATCH(B15, Lista_materiales!B15:B93, 0)), "")</f>
        <v>0</v>
      </c>
    </row>
    <row r="16" spans="1:3" customFormat="1" ht="15.95" customHeight="1" x14ac:dyDescent="0.25">
      <c r="A16" s="244">
        <v>15</v>
      </c>
      <c r="B16" s="243" t="s">
        <v>475</v>
      </c>
      <c r="C16" s="243">
        <f>IFERROR(INDEX(Lista_materiales!A16:A96, MATCH(B16, Lista_materiales!B16:B93, 0)), "")</f>
        <v>0</v>
      </c>
    </row>
    <row r="17" spans="1:3" customFormat="1" ht="15.95" customHeight="1" x14ac:dyDescent="0.25">
      <c r="A17" s="244">
        <v>16</v>
      </c>
      <c r="B17" s="243" t="s">
        <v>468</v>
      </c>
      <c r="C17" s="243">
        <f>IFERROR(INDEX(Lista_materiales!A17:A97, MATCH(B17, Lista_materiales!B17:B96, 0)), "")</f>
        <v>0</v>
      </c>
    </row>
    <row r="18" spans="1:3" customFormat="1" ht="15.95" customHeight="1" x14ac:dyDescent="0.25">
      <c r="A18" s="244">
        <v>17</v>
      </c>
      <c r="B18" s="243" t="s">
        <v>476</v>
      </c>
      <c r="C18" s="243">
        <f>IFERROR(INDEX(Lista_materiales!A18:A98, MATCH(B18, Lista_materiales!B18:B98, 0)), "")</f>
        <v>0</v>
      </c>
    </row>
    <row r="19" spans="1:3" customFormat="1" ht="15.95" customHeight="1" x14ac:dyDescent="0.25">
      <c r="A19" s="244">
        <v>18</v>
      </c>
      <c r="B19" s="243" t="s">
        <v>477</v>
      </c>
      <c r="C19" s="243">
        <f>IFERROR(INDEX(Lista_materiales!A19:A99, MATCH(B19, Lista_materiales!B19:B98, 0)), "")</f>
        <v>0</v>
      </c>
    </row>
    <row r="20" spans="1:3" customFormat="1" ht="15.95" customHeight="1" x14ac:dyDescent="0.25">
      <c r="A20" s="244">
        <v>19</v>
      </c>
      <c r="B20" s="243" t="s">
        <v>315</v>
      </c>
      <c r="C20" s="243" t="str">
        <f>IFERROR(INDEX(Lista_materiales!A20:A100, MATCH(B20, Lista_materiales!B20:B100, 0)), "")</f>
        <v>1200063</v>
      </c>
    </row>
    <row r="21" spans="1:3" customFormat="1" ht="15.95" customHeight="1" x14ac:dyDescent="0.25">
      <c r="A21" s="244">
        <v>20</v>
      </c>
      <c r="B21" s="243"/>
      <c r="C21" s="243" t="str">
        <f>IFERROR(INDEX(Lista_materiales!A21:A101, MATCH(B21, Lista_materiales!B21:B94, 0)), "")</f>
        <v/>
      </c>
    </row>
    <row r="22" spans="1:3" customFormat="1" ht="15.95" customHeight="1" x14ac:dyDescent="0.25">
      <c r="A22" s="244">
        <v>21</v>
      </c>
      <c r="B22" s="243"/>
      <c r="C22" s="243" t="str">
        <f>IFERROR(INDEX(Lista_materiales!A22:A102, MATCH(B22, Lista_materiales!B22:B100, 0)), "")</f>
        <v/>
      </c>
    </row>
    <row r="23" spans="1:3" customFormat="1" ht="15.95" customHeight="1" x14ac:dyDescent="0.25">
      <c r="A23" s="244">
        <v>22</v>
      </c>
      <c r="B23" s="243"/>
      <c r="C23" s="243" t="str">
        <f>IFERROR(INDEX(Lista_materiales!A23:A103, MATCH(B23, Lista_materiales!B23:B103, 0)), "")</f>
        <v/>
      </c>
    </row>
    <row r="24" spans="1:3" customFormat="1" ht="15.95" customHeight="1" x14ac:dyDescent="0.25">
      <c r="A24" s="244">
        <v>23</v>
      </c>
      <c r="B24" s="243"/>
      <c r="C24" s="243" t="str">
        <f>IFERROR(INDEX(Lista_materiales!A24:A104, MATCH(B24, Lista_materiales!B24:B104, 0)), "")</f>
        <v/>
      </c>
    </row>
    <row r="25" spans="1:3" customFormat="1" ht="15.95" customHeight="1" x14ac:dyDescent="0.25">
      <c r="A25" s="244">
        <v>24</v>
      </c>
      <c r="B25" s="243"/>
      <c r="C25" s="243" t="str">
        <f>IFERROR(INDEX(Lista_materiales!A25:A105, MATCH(B25, Lista_materiales!B25:B105, 0)), "")</f>
        <v/>
      </c>
    </row>
    <row r="26" spans="1:3" customFormat="1" ht="15.95" customHeight="1" x14ac:dyDescent="0.25">
      <c r="A26" s="244">
        <v>25</v>
      </c>
      <c r="B26" s="243"/>
      <c r="C26" s="243" t="str">
        <f>IFERROR(INDEX(Lista_materiales!A26:A106, MATCH(B26, Lista_materiales!B26:B106, 0)), "")</f>
        <v/>
      </c>
    </row>
    <row r="27" spans="1:3" customFormat="1" ht="15.95" customHeight="1" x14ac:dyDescent="0.25">
      <c r="A27" s="244">
        <v>26</v>
      </c>
      <c r="B27" s="243"/>
      <c r="C27" s="243" t="str">
        <f>IFERROR(INDEX(Lista_materiales!A27:A107, MATCH(B27, Lista_materiales!B27:B107, 0)), "")</f>
        <v/>
      </c>
    </row>
    <row r="28" spans="1:3" customFormat="1" ht="15.95" customHeight="1" x14ac:dyDescent="0.25">
      <c r="A28" s="244">
        <v>27</v>
      </c>
      <c r="B28" s="243"/>
      <c r="C28" s="243" t="str">
        <f>IFERROR(INDEX(Lista_materiales!A28:A108, MATCH(B28, Lista_materiales!B28:B108, 0)), "")</f>
        <v/>
      </c>
    </row>
    <row r="29" spans="1:3" customFormat="1" ht="15.95" customHeight="1" x14ac:dyDescent="0.25">
      <c r="A29" s="244">
        <v>28</v>
      </c>
      <c r="B29" s="243"/>
      <c r="C29" s="243" t="str">
        <f>IFERROR(INDEX(Lista_materiales!A29:A109, MATCH(B29, Lista_materiales!B29:B109, 0)), "")</f>
        <v/>
      </c>
    </row>
    <row r="30" spans="1:3" customFormat="1" ht="15.95" customHeight="1" x14ac:dyDescent="0.25">
      <c r="A30" s="244">
        <v>29</v>
      </c>
      <c r="B30" s="243"/>
      <c r="C30" s="243" t="str">
        <f>IFERROR(INDEX(Lista_materiales!A30:A110, MATCH(B30, Lista_materiales!B30:B110, 0)), "")</f>
        <v/>
      </c>
    </row>
    <row r="31" spans="1:3" customFormat="1" ht="15.95" customHeight="1" x14ac:dyDescent="0.25">
      <c r="A31" s="244">
        <v>30</v>
      </c>
      <c r="B31" s="243"/>
      <c r="C31" s="243" t="str">
        <f>IFERROR(INDEX(Lista_materiales!A31:A111, MATCH(B31, Lista_materiales!B31:B111, 0)), "")</f>
        <v/>
      </c>
    </row>
    <row r="32" spans="1:3" customFormat="1" ht="15.95" customHeight="1" x14ac:dyDescent="0.25">
      <c r="A32" s="25"/>
      <c r="B32" s="25"/>
      <c r="C32" s="25"/>
    </row>
    <row r="33" spans="1:3" customFormat="1" ht="15.95" customHeight="1" x14ac:dyDescent="0.25">
      <c r="A33" s="25"/>
      <c r="B33" s="25"/>
      <c r="C33" s="25"/>
    </row>
    <row r="34" spans="1:3" customFormat="1" ht="15.95" customHeight="1" x14ac:dyDescent="0.25">
      <c r="A34" s="25"/>
      <c r="B34" s="25"/>
      <c r="C34" s="25"/>
    </row>
    <row r="35" spans="1:3" customFormat="1" ht="15.95" customHeight="1" x14ac:dyDescent="0.25">
      <c r="A35" s="25"/>
      <c r="B35" s="25"/>
      <c r="C35" s="25"/>
    </row>
    <row r="36" spans="1:3" customFormat="1" ht="15.95" customHeight="1" x14ac:dyDescent="0.25">
      <c r="A36" s="25"/>
      <c r="B36" s="25"/>
      <c r="C36" s="25"/>
    </row>
    <row r="37" spans="1:3" customFormat="1" ht="15.95" customHeight="1" x14ac:dyDescent="0.25">
      <c r="A37" s="25"/>
      <c r="B37" s="25"/>
      <c r="C37" s="25"/>
    </row>
    <row r="38" spans="1:3" customFormat="1" ht="15.95" customHeight="1" x14ac:dyDescent="0.25">
      <c r="A38" s="25"/>
      <c r="B38" s="25"/>
      <c r="C38" s="25"/>
    </row>
    <row r="39" spans="1:3" customFormat="1" ht="15.95" customHeight="1" x14ac:dyDescent="0.25">
      <c r="A39" s="25"/>
      <c r="B39" s="25"/>
      <c r="C39" s="25"/>
    </row>
    <row r="40" spans="1:3" customFormat="1" ht="15.95" customHeight="1" x14ac:dyDescent="0.25">
      <c r="A40" s="25"/>
      <c r="B40" s="25"/>
      <c r="C40" s="25"/>
    </row>
    <row r="41" spans="1:3" customFormat="1" ht="15.95" customHeight="1" x14ac:dyDescent="0.25">
      <c r="A41" s="25"/>
      <c r="B41" s="25"/>
      <c r="C41" s="25"/>
    </row>
    <row r="42" spans="1:3" customFormat="1" ht="15.95" customHeight="1" x14ac:dyDescent="0.25">
      <c r="A42" s="25"/>
      <c r="B42" s="25"/>
      <c r="C42" s="25"/>
    </row>
    <row r="43" spans="1:3" customFormat="1" ht="15.95" customHeight="1" x14ac:dyDescent="0.25">
      <c r="A43" s="25"/>
      <c r="B43" s="25"/>
      <c r="C43" s="25"/>
    </row>
    <row r="44" spans="1:3" customFormat="1" ht="15.95" customHeight="1" x14ac:dyDescent="0.25">
      <c r="A44" s="25"/>
      <c r="B44" s="25"/>
      <c r="C44" s="25"/>
    </row>
    <row r="45" spans="1:3" customFormat="1" ht="15.95" customHeight="1" x14ac:dyDescent="0.25">
      <c r="A45" s="25"/>
      <c r="B45" s="25"/>
      <c r="C45" s="25"/>
    </row>
    <row r="46" spans="1:3" customFormat="1" ht="15.95" customHeight="1" x14ac:dyDescent="0.25">
      <c r="A46" s="25"/>
      <c r="B46" s="25"/>
      <c r="C46" s="25"/>
    </row>
    <row r="47" spans="1:3" customFormat="1" ht="15.95" customHeight="1" x14ac:dyDescent="0.25">
      <c r="A47" s="25"/>
      <c r="B47" s="25"/>
      <c r="C47" s="25"/>
    </row>
    <row r="48" spans="1:3" customFormat="1" ht="15.95" customHeight="1" x14ac:dyDescent="0.25">
      <c r="A48" s="25"/>
      <c r="B48" s="25"/>
      <c r="C48" s="25"/>
    </row>
    <row r="49" spans="1:3" customFormat="1" ht="15.95" customHeight="1" x14ac:dyDescent="0.25">
      <c r="A49" s="25"/>
      <c r="B49" s="25"/>
      <c r="C49" s="25"/>
    </row>
    <row r="50" spans="1:3" customFormat="1" ht="15.95" customHeight="1" x14ac:dyDescent="0.25">
      <c r="A50" s="25"/>
      <c r="B50" s="25"/>
      <c r="C50" s="25"/>
    </row>
    <row r="51" spans="1:3" customFormat="1" ht="15.95" customHeight="1" x14ac:dyDescent="0.25">
      <c r="A51" s="25"/>
      <c r="B51" s="25"/>
      <c r="C51" s="25"/>
    </row>
    <row r="52" spans="1:3" customFormat="1" ht="15.95" customHeight="1" x14ac:dyDescent="0.25">
      <c r="A52" s="25"/>
      <c r="B52" s="25"/>
      <c r="C52" s="25"/>
    </row>
    <row r="53" spans="1:3" customFormat="1" ht="15.95" customHeight="1" x14ac:dyDescent="0.25">
      <c r="A53" s="25"/>
      <c r="B53" s="25"/>
      <c r="C53" s="25"/>
    </row>
    <row r="54" spans="1:3" customFormat="1" ht="15.95" customHeight="1" x14ac:dyDescent="0.25">
      <c r="A54" s="25"/>
      <c r="B54" s="25"/>
      <c r="C54" s="25"/>
    </row>
    <row r="55" spans="1:3" customFormat="1" ht="15.95" customHeight="1" x14ac:dyDescent="0.25">
      <c r="A55" s="25"/>
      <c r="B55" s="25"/>
      <c r="C55" s="25"/>
    </row>
    <row r="56" spans="1:3" customFormat="1" ht="15.95" customHeight="1" x14ac:dyDescent="0.25">
      <c r="A56" s="25"/>
      <c r="B56" s="25"/>
      <c r="C56" s="25"/>
    </row>
    <row r="57" spans="1:3" customFormat="1" ht="15.95" customHeight="1" x14ac:dyDescent="0.25">
      <c r="A57" s="25"/>
      <c r="B57" s="25"/>
      <c r="C57" s="25"/>
    </row>
    <row r="58" spans="1:3" customFormat="1" ht="15.95" customHeight="1" x14ac:dyDescent="0.25">
      <c r="A58" s="25"/>
      <c r="B58" s="25"/>
      <c r="C58" s="25"/>
    </row>
    <row r="59" spans="1:3" customFormat="1" ht="15.95" customHeight="1" x14ac:dyDescent="0.25">
      <c r="A59" s="25"/>
      <c r="B59" s="25"/>
      <c r="C59" s="25"/>
    </row>
    <row r="60" spans="1:3" customFormat="1" ht="15.95" customHeight="1" x14ac:dyDescent="0.25">
      <c r="A60" s="25"/>
      <c r="B60" s="25"/>
      <c r="C60" s="25"/>
    </row>
    <row r="61" spans="1:3" customFormat="1" ht="15.95" customHeight="1" x14ac:dyDescent="0.25">
      <c r="A61" s="25"/>
      <c r="B61" s="25"/>
      <c r="C61" s="25"/>
    </row>
    <row r="62" spans="1:3" customFormat="1" ht="15.95" customHeight="1" x14ac:dyDescent="0.25">
      <c r="A62" s="25"/>
      <c r="B62" s="25"/>
      <c r="C62" s="25"/>
    </row>
    <row r="63" spans="1:3" customFormat="1" ht="15.95" customHeight="1" x14ac:dyDescent="0.25">
      <c r="A63" s="25"/>
      <c r="B63" s="25"/>
      <c r="C63" s="25"/>
    </row>
    <row r="64" spans="1:3" customFormat="1" ht="15.95" customHeight="1" x14ac:dyDescent="0.25">
      <c r="A64" s="25"/>
      <c r="B64" s="25"/>
      <c r="C64" s="25"/>
    </row>
    <row r="65" spans="1:3" customFormat="1" ht="15.95" customHeight="1" x14ac:dyDescent="0.25">
      <c r="A65" s="25"/>
      <c r="B65" s="25"/>
      <c r="C65" s="25"/>
    </row>
    <row r="66" spans="1:3" customFormat="1" ht="15.95" customHeight="1" x14ac:dyDescent="0.25">
      <c r="A66" s="25"/>
      <c r="B66" s="25"/>
      <c r="C66" s="25"/>
    </row>
    <row r="67" spans="1:3" customFormat="1" ht="15.95" customHeight="1" x14ac:dyDescent="0.25">
      <c r="A67" s="25"/>
      <c r="B67" s="25"/>
      <c r="C67" s="25"/>
    </row>
    <row r="68" spans="1:3" customFormat="1" ht="15.95" customHeight="1" x14ac:dyDescent="0.25">
      <c r="A68" s="25"/>
      <c r="B68" s="25"/>
      <c r="C68" s="25"/>
    </row>
    <row r="69" spans="1:3" customFormat="1" ht="15.95" customHeight="1" x14ac:dyDescent="0.25">
      <c r="A69" s="25"/>
      <c r="B69" s="25"/>
      <c r="C69" s="25"/>
    </row>
    <row r="70" spans="1:3" customFormat="1" ht="15.95" customHeight="1" x14ac:dyDescent="0.25">
      <c r="A70" s="25"/>
      <c r="B70" s="25"/>
      <c r="C70" s="25"/>
    </row>
    <row r="71" spans="1:3" customFormat="1" ht="15.95" customHeight="1" x14ac:dyDescent="0.25">
      <c r="A71" s="25"/>
      <c r="B71" s="25"/>
      <c r="C71" s="25"/>
    </row>
    <row r="72" spans="1:3" customFormat="1" ht="15.95" customHeight="1" x14ac:dyDescent="0.25">
      <c r="A72" s="25"/>
      <c r="B72" s="25"/>
      <c r="C72" s="25"/>
    </row>
    <row r="73" spans="1:3" customFormat="1" ht="15.95" customHeight="1" x14ac:dyDescent="0.25">
      <c r="A73" s="25"/>
      <c r="B73" s="25"/>
      <c r="C73" s="25"/>
    </row>
    <row r="74" spans="1:3" customFormat="1" ht="15.95" customHeight="1" x14ac:dyDescent="0.25">
      <c r="A74" s="25"/>
      <c r="B74" s="25"/>
      <c r="C74" s="25"/>
    </row>
    <row r="75" spans="1:3" customFormat="1" ht="15.95" customHeight="1" x14ac:dyDescent="0.25">
      <c r="A75" s="25"/>
      <c r="B75" s="25"/>
      <c r="C75" s="25"/>
    </row>
    <row r="76" spans="1:3" customFormat="1" ht="15.95" customHeight="1" x14ac:dyDescent="0.25">
      <c r="A76" s="25"/>
      <c r="B76" s="25"/>
      <c r="C76" s="25"/>
    </row>
    <row r="77" spans="1:3" customFormat="1" ht="15.95" customHeight="1" x14ac:dyDescent="0.25">
      <c r="A77" s="25"/>
      <c r="B77" s="25"/>
      <c r="C77" s="25"/>
    </row>
    <row r="78" spans="1:3" customFormat="1" ht="15.95" customHeight="1" x14ac:dyDescent="0.25">
      <c r="A78" s="25"/>
      <c r="B78" s="25"/>
      <c r="C78" s="25"/>
    </row>
    <row r="79" spans="1:3" customFormat="1" ht="15.95" customHeight="1" x14ac:dyDescent="0.25">
      <c r="A79" s="25"/>
      <c r="B79" s="25"/>
      <c r="C79" s="25"/>
    </row>
    <row r="80" spans="1:3" customFormat="1" ht="15.95" customHeight="1" x14ac:dyDescent="0.25">
      <c r="A80" s="25"/>
      <c r="B80" s="25"/>
      <c r="C80" s="25"/>
    </row>
    <row r="81" spans="1:3" customFormat="1" ht="15.95" customHeight="1" x14ac:dyDescent="0.25">
      <c r="A81" s="25"/>
      <c r="B81" s="25"/>
      <c r="C81" s="25"/>
    </row>
    <row r="82" spans="1:3" customFormat="1" ht="15.95" customHeight="1" x14ac:dyDescent="0.25">
      <c r="A82" s="25"/>
      <c r="B82" s="25"/>
      <c r="C82" s="25"/>
    </row>
    <row r="83" spans="1:3" customFormat="1" ht="15.95" customHeight="1" x14ac:dyDescent="0.25">
      <c r="A83" s="25"/>
      <c r="B83" s="25"/>
      <c r="C83" s="25"/>
    </row>
    <row r="84" spans="1:3" customFormat="1" ht="15.95" customHeight="1" x14ac:dyDescent="0.25">
      <c r="A84" s="25"/>
      <c r="B84" s="25"/>
      <c r="C84" s="25"/>
    </row>
    <row r="85" spans="1:3" customFormat="1" ht="15.95" customHeight="1" x14ac:dyDescent="0.25">
      <c r="A85" s="25"/>
      <c r="B85" s="25"/>
      <c r="C85" s="25"/>
    </row>
    <row r="86" spans="1:3" customFormat="1" ht="15.95" customHeight="1" x14ac:dyDescent="0.25">
      <c r="A86" s="25"/>
      <c r="B86" s="25"/>
      <c r="C86" s="25"/>
    </row>
    <row r="87" spans="1:3" customFormat="1" ht="15.95" customHeight="1" x14ac:dyDescent="0.25">
      <c r="A87" s="25"/>
      <c r="B87" s="25"/>
      <c r="C87" s="25"/>
    </row>
    <row r="88" spans="1:3" customFormat="1" ht="15.95" customHeight="1" x14ac:dyDescent="0.25">
      <c r="A88" s="25"/>
      <c r="B88" s="25"/>
      <c r="C88" s="25"/>
    </row>
    <row r="89" spans="1:3" customFormat="1" ht="15.95" customHeight="1" x14ac:dyDescent="0.25">
      <c r="A89" s="25"/>
      <c r="B89" s="25"/>
      <c r="C89" s="25"/>
    </row>
    <row r="90" spans="1:3" customFormat="1" ht="15.95" customHeight="1" x14ac:dyDescent="0.25">
      <c r="A90" s="25"/>
      <c r="B90" s="25"/>
      <c r="C90" s="25"/>
    </row>
    <row r="91" spans="1:3" customFormat="1" ht="15.95" customHeight="1" x14ac:dyDescent="0.25">
      <c r="A91" s="25"/>
      <c r="B91" s="25"/>
      <c r="C91" s="25"/>
    </row>
    <row r="92" spans="1:3" customFormat="1" ht="15.95" customHeight="1" x14ac:dyDescent="0.25">
      <c r="A92" s="25"/>
      <c r="B92" s="25"/>
      <c r="C92" s="25"/>
    </row>
    <row r="93" spans="1:3" customFormat="1" ht="15.95" customHeight="1" x14ac:dyDescent="0.25">
      <c r="A93" s="25"/>
      <c r="B93" s="25"/>
      <c r="C93" s="25"/>
    </row>
    <row r="94" spans="1:3" customFormat="1" ht="15.95" customHeight="1" x14ac:dyDescent="0.25">
      <c r="A94" s="25"/>
      <c r="B94" s="25"/>
      <c r="C94" s="25"/>
    </row>
    <row r="95" spans="1:3" customFormat="1" ht="15.95" customHeight="1" x14ac:dyDescent="0.25">
      <c r="A95" s="25"/>
      <c r="B95" s="25"/>
      <c r="C95" s="25"/>
    </row>
    <row r="96" spans="1:3" customFormat="1" ht="15.95" customHeight="1" x14ac:dyDescent="0.25">
      <c r="A96" s="25"/>
      <c r="B96" s="25"/>
      <c r="C96" s="25"/>
    </row>
    <row r="97" spans="1:3" customFormat="1" ht="15.95" customHeight="1" x14ac:dyDescent="0.25">
      <c r="A97" s="25"/>
      <c r="B97" s="25"/>
      <c r="C97" s="25"/>
    </row>
    <row r="98" spans="1:3" customFormat="1" ht="15.95" customHeight="1" x14ac:dyDescent="0.25">
      <c r="A98" s="25"/>
      <c r="B98" s="25"/>
      <c r="C98" s="25"/>
    </row>
    <row r="99" spans="1:3" customFormat="1" ht="15.95" customHeight="1" x14ac:dyDescent="0.25">
      <c r="A99" s="25"/>
      <c r="B99" s="25"/>
      <c r="C99" s="25"/>
    </row>
    <row r="100" spans="1:3" customFormat="1" ht="15.95" customHeight="1" x14ac:dyDescent="0.25">
      <c r="A100" s="25"/>
      <c r="B100" s="25"/>
      <c r="C100" s="25"/>
    </row>
    <row r="101" spans="1:3" customFormat="1" ht="15.95" customHeight="1" x14ac:dyDescent="0.25">
      <c r="A101" s="25"/>
      <c r="B101" s="25"/>
      <c r="C101" s="25"/>
    </row>
    <row r="102" spans="1:3" customFormat="1" ht="15.95" customHeight="1" x14ac:dyDescent="0.25">
      <c r="A102" s="25"/>
      <c r="B102" s="25"/>
      <c r="C102" s="25"/>
    </row>
    <row r="103" spans="1:3" customFormat="1" ht="15.95" customHeight="1" x14ac:dyDescent="0.25">
      <c r="A103" s="25"/>
      <c r="B103" s="25"/>
      <c r="C103" s="25"/>
    </row>
    <row r="104" spans="1:3" customFormat="1" ht="15.95" customHeight="1" x14ac:dyDescent="0.25">
      <c r="A104" s="25"/>
      <c r="B104" s="25"/>
      <c r="C104" s="25"/>
    </row>
    <row r="105" spans="1:3" customFormat="1" ht="15.95" customHeight="1" x14ac:dyDescent="0.25">
      <c r="A105" s="25"/>
      <c r="B105" s="25"/>
      <c r="C105" s="25"/>
    </row>
    <row r="106" spans="1:3" customFormat="1" ht="15.95" customHeight="1" x14ac:dyDescent="0.25">
      <c r="A106" s="25"/>
      <c r="B106" s="25"/>
      <c r="C106" s="25"/>
    </row>
    <row r="107" spans="1:3" customFormat="1" ht="15.95" customHeight="1" x14ac:dyDescent="0.25">
      <c r="A107" s="25"/>
      <c r="B107" s="25"/>
      <c r="C107" s="25"/>
    </row>
    <row r="108" spans="1:3" customFormat="1" ht="15.95" customHeight="1" x14ac:dyDescent="0.25">
      <c r="A108" s="25"/>
      <c r="B108" s="25"/>
      <c r="C108" s="25"/>
    </row>
    <row r="109" spans="1:3" customFormat="1" ht="15.95" customHeight="1" x14ac:dyDescent="0.25">
      <c r="A109" s="25"/>
      <c r="B109" s="25"/>
      <c r="C109" s="25"/>
    </row>
    <row r="110" spans="1:3" customFormat="1" ht="15.95" customHeight="1" x14ac:dyDescent="0.25">
      <c r="A110" s="25"/>
      <c r="B110" s="25"/>
      <c r="C110" s="25"/>
    </row>
    <row r="111" spans="1:3" customFormat="1" ht="15.95" customHeight="1" x14ac:dyDescent="0.25">
      <c r="A111" s="25"/>
      <c r="B111" s="25"/>
      <c r="C111" s="25"/>
    </row>
    <row r="112" spans="1:3" customFormat="1" ht="15.95" customHeight="1" x14ac:dyDescent="0.25">
      <c r="A112" s="25"/>
      <c r="B112" s="25"/>
      <c r="C112" s="25"/>
    </row>
    <row r="113" spans="1:3" customFormat="1" ht="15.95" customHeight="1" x14ac:dyDescent="0.25">
      <c r="A113" s="25"/>
      <c r="B113" s="25"/>
      <c r="C113" s="25"/>
    </row>
    <row r="114" spans="1:3" customFormat="1" ht="15.95" customHeight="1" x14ac:dyDescent="0.25">
      <c r="A114" s="25"/>
      <c r="B114" s="25"/>
      <c r="C114" s="25"/>
    </row>
    <row r="115" spans="1:3" customFormat="1" ht="15.95" customHeight="1" x14ac:dyDescent="0.25">
      <c r="A115" s="25"/>
      <c r="B115" s="25"/>
      <c r="C115" s="25"/>
    </row>
    <row r="116" spans="1:3" customFormat="1" ht="15.95" customHeight="1" x14ac:dyDescent="0.25">
      <c r="A116" s="25"/>
      <c r="B116" s="25"/>
      <c r="C116" s="25"/>
    </row>
    <row r="117" spans="1:3" customFormat="1" ht="15.95" customHeight="1" x14ac:dyDescent="0.25">
      <c r="A117" s="25"/>
      <c r="B117" s="25"/>
      <c r="C117" s="25"/>
    </row>
    <row r="118" spans="1:3" customFormat="1" ht="15.95" customHeight="1" x14ac:dyDescent="0.25">
      <c r="A118" s="25"/>
      <c r="B118" s="25"/>
      <c r="C118" s="25"/>
    </row>
    <row r="119" spans="1:3" customFormat="1" ht="15.95" customHeight="1" x14ac:dyDescent="0.25">
      <c r="A119" s="25"/>
      <c r="B119" s="25"/>
      <c r="C119" s="25"/>
    </row>
    <row r="120" spans="1:3" customFormat="1" ht="15.95" customHeight="1" x14ac:dyDescent="0.25">
      <c r="A120" s="25"/>
      <c r="B120" s="25"/>
      <c r="C120" s="25"/>
    </row>
    <row r="121" spans="1:3" customFormat="1" ht="15.95" customHeight="1" x14ac:dyDescent="0.25">
      <c r="A121" s="25"/>
      <c r="B121" s="25"/>
      <c r="C121" s="25"/>
    </row>
    <row r="122" spans="1:3" customFormat="1" ht="15.95" customHeight="1" x14ac:dyDescent="0.25">
      <c r="A122" s="25"/>
      <c r="B122" s="25"/>
      <c r="C122" s="25"/>
    </row>
    <row r="123" spans="1:3" customFormat="1" ht="15.95" customHeight="1" x14ac:dyDescent="0.25">
      <c r="A123" s="25"/>
      <c r="B123" s="25"/>
      <c r="C123" s="25"/>
    </row>
    <row r="124" spans="1:3" customFormat="1" ht="15.95" customHeight="1" x14ac:dyDescent="0.25">
      <c r="A124" s="25"/>
      <c r="B124" s="25"/>
      <c r="C124" s="25"/>
    </row>
    <row r="125" spans="1:3" customFormat="1" ht="15.95" customHeight="1" x14ac:dyDescent="0.25">
      <c r="A125" s="25"/>
      <c r="B125" s="25"/>
      <c r="C125" s="25"/>
    </row>
    <row r="126" spans="1:3" customFormat="1" ht="15.95" customHeight="1" x14ac:dyDescent="0.25">
      <c r="A126" s="25"/>
      <c r="B126" s="25"/>
      <c r="C126" s="25"/>
    </row>
    <row r="127" spans="1:3" customFormat="1" ht="15.95" customHeight="1" x14ac:dyDescent="0.25">
      <c r="A127" s="25"/>
      <c r="B127" s="25"/>
      <c r="C127" s="25"/>
    </row>
    <row r="128" spans="1:3" customFormat="1" ht="15.95" customHeight="1" x14ac:dyDescent="0.25">
      <c r="A128" s="25"/>
      <c r="B128" s="25"/>
      <c r="C128" s="25"/>
    </row>
    <row r="129" spans="1:3" customFormat="1" ht="15.95" customHeight="1" x14ac:dyDescent="0.25">
      <c r="A129" s="25"/>
      <c r="B129" s="25"/>
      <c r="C129" s="25"/>
    </row>
    <row r="130" spans="1:3" customFormat="1" ht="15.95" customHeight="1" x14ac:dyDescent="0.25">
      <c r="A130" s="25"/>
      <c r="B130" s="25"/>
      <c r="C130" s="25"/>
    </row>
    <row r="131" spans="1:3" customFormat="1" ht="15.95" customHeight="1" x14ac:dyDescent="0.25">
      <c r="A131" s="25"/>
      <c r="B131" s="25"/>
      <c r="C131" s="25"/>
    </row>
    <row r="132" spans="1:3" customFormat="1" ht="15.95" customHeight="1" x14ac:dyDescent="0.25">
      <c r="A132" s="25"/>
      <c r="B132" s="25"/>
      <c r="C132" s="25"/>
    </row>
    <row r="133" spans="1:3" customFormat="1" ht="15.95" customHeight="1" x14ac:dyDescent="0.25">
      <c r="A133" s="25"/>
      <c r="B133" s="25"/>
      <c r="C133" s="25"/>
    </row>
    <row r="134" spans="1:3" customFormat="1" ht="15.95" customHeight="1" x14ac:dyDescent="0.25">
      <c r="A134" s="25"/>
      <c r="B134" s="25"/>
      <c r="C134" s="25"/>
    </row>
    <row r="135" spans="1:3" customFormat="1" ht="15.95" customHeight="1" x14ac:dyDescent="0.25">
      <c r="A135" s="25"/>
      <c r="B135" s="25"/>
      <c r="C135" s="25"/>
    </row>
    <row r="136" spans="1:3" customFormat="1" ht="15.95" customHeight="1" x14ac:dyDescent="0.25">
      <c r="A136" s="25"/>
      <c r="B136" s="25"/>
      <c r="C136" s="25"/>
    </row>
    <row r="137" spans="1:3" customFormat="1" ht="15.95" customHeight="1" x14ac:dyDescent="0.25">
      <c r="A137" s="25"/>
      <c r="B137" s="25"/>
      <c r="C137" s="25"/>
    </row>
    <row r="138" spans="1:3" customFormat="1" ht="15.95" customHeight="1" x14ac:dyDescent="0.25">
      <c r="A138" s="25"/>
      <c r="B138" s="25"/>
      <c r="C138" s="25"/>
    </row>
    <row r="139" spans="1:3" customFormat="1" ht="15.95" customHeight="1" x14ac:dyDescent="0.25">
      <c r="A139" s="25"/>
      <c r="B139" s="25"/>
      <c r="C139" s="25"/>
    </row>
    <row r="140" spans="1:3" customFormat="1" ht="15.95" customHeight="1" x14ac:dyDescent="0.25">
      <c r="A140" s="25"/>
      <c r="B140" s="25"/>
      <c r="C140" s="25"/>
    </row>
    <row r="141" spans="1:3" customFormat="1" ht="15.95" customHeight="1" x14ac:dyDescent="0.25">
      <c r="A141" s="25"/>
      <c r="B141" s="25"/>
      <c r="C141" s="25"/>
    </row>
    <row r="142" spans="1:3" customFormat="1" ht="15.95" customHeight="1" x14ac:dyDescent="0.25">
      <c r="A142" s="25"/>
      <c r="B142" s="25"/>
      <c r="C142" s="25"/>
    </row>
    <row r="143" spans="1:3" customFormat="1" ht="15.95" customHeight="1" x14ac:dyDescent="0.25">
      <c r="A143" s="25"/>
      <c r="B143" s="25"/>
      <c r="C143" s="25"/>
    </row>
    <row r="144" spans="1:3" customFormat="1" ht="15.95" customHeight="1" x14ac:dyDescent="0.25">
      <c r="A144" s="25"/>
      <c r="B144" s="25"/>
      <c r="C144" s="25"/>
    </row>
    <row r="145" spans="1:3" customFormat="1" ht="15.95" customHeight="1" x14ac:dyDescent="0.25">
      <c r="A145" s="25"/>
      <c r="B145" s="25"/>
      <c r="C145" s="25"/>
    </row>
    <row r="146" spans="1:3" customFormat="1" ht="15.95" customHeight="1" x14ac:dyDescent="0.25">
      <c r="A146" s="25"/>
      <c r="B146" s="25"/>
      <c r="C146" s="25"/>
    </row>
    <row r="147" spans="1:3" customFormat="1" ht="15.95" customHeight="1" x14ac:dyDescent="0.25">
      <c r="A147" s="25"/>
      <c r="B147" s="25"/>
      <c r="C147" s="25"/>
    </row>
    <row r="148" spans="1:3" customFormat="1" ht="15.95" customHeight="1" x14ac:dyDescent="0.25">
      <c r="A148" s="25"/>
      <c r="B148" s="25"/>
      <c r="C148" s="25"/>
    </row>
    <row r="149" spans="1:3" customFormat="1" ht="15.95" customHeight="1" x14ac:dyDescent="0.25">
      <c r="A149" s="25"/>
      <c r="B149" s="25"/>
      <c r="C149" s="25"/>
    </row>
    <row r="150" spans="1:3" customFormat="1" ht="15.95" customHeight="1" x14ac:dyDescent="0.25">
      <c r="A150" s="25"/>
      <c r="B150" s="25"/>
      <c r="C150" s="25"/>
    </row>
    <row r="151" spans="1:3" customFormat="1" ht="15.95" customHeight="1" x14ac:dyDescent="0.25">
      <c r="A151" s="25"/>
      <c r="B151" s="25"/>
      <c r="C151" s="25"/>
    </row>
    <row r="152" spans="1:3" customFormat="1" ht="15.95" customHeight="1" x14ac:dyDescent="0.25">
      <c r="A152" s="25"/>
      <c r="B152" s="25"/>
      <c r="C152" s="25"/>
    </row>
    <row r="153" spans="1:3" customFormat="1" ht="15.95" customHeight="1" x14ac:dyDescent="0.25">
      <c r="A153" s="25"/>
      <c r="B153" s="25"/>
      <c r="C153" s="25"/>
    </row>
    <row r="154" spans="1:3" customFormat="1" ht="15.95" customHeight="1" x14ac:dyDescent="0.25">
      <c r="A154" s="25"/>
      <c r="B154" s="25"/>
      <c r="C154" s="25"/>
    </row>
    <row r="155" spans="1:3" customFormat="1" ht="15.95" customHeight="1" x14ac:dyDescent="0.25">
      <c r="A155" s="25"/>
      <c r="B155" s="25"/>
      <c r="C155" s="25"/>
    </row>
    <row r="156" spans="1:3" customFormat="1" ht="15.95" customHeight="1" x14ac:dyDescent="0.25">
      <c r="A156" s="25"/>
      <c r="B156" s="25"/>
      <c r="C156" s="25"/>
    </row>
    <row r="157" spans="1:3" customFormat="1" ht="15.95" customHeight="1" x14ac:dyDescent="0.25">
      <c r="A157" s="25"/>
      <c r="B157" s="25"/>
      <c r="C157" s="25"/>
    </row>
    <row r="158" spans="1:3" customFormat="1" ht="15.95" customHeight="1" x14ac:dyDescent="0.25">
      <c r="A158" s="25"/>
      <c r="B158" s="25"/>
      <c r="C158" s="25"/>
    </row>
    <row r="159" spans="1:3" customFormat="1" ht="15.95" customHeight="1" x14ac:dyDescent="0.25">
      <c r="A159" s="25"/>
      <c r="B159" s="25"/>
      <c r="C159" s="25"/>
    </row>
    <row r="160" spans="1:3" customFormat="1" ht="15.95" customHeight="1" x14ac:dyDescent="0.25">
      <c r="A160" s="25"/>
      <c r="B160" s="25"/>
      <c r="C160" s="25"/>
    </row>
    <row r="161" spans="1:3" customFormat="1" ht="15.95" customHeight="1" x14ac:dyDescent="0.25">
      <c r="A161" s="25"/>
      <c r="B161" s="25"/>
      <c r="C161" s="25"/>
    </row>
    <row r="162" spans="1:3" customFormat="1" ht="15.95" customHeight="1" x14ac:dyDescent="0.25">
      <c r="A162" s="25"/>
      <c r="B162" s="25"/>
      <c r="C162" s="25"/>
    </row>
    <row r="163" spans="1:3" customFormat="1" ht="15.95" customHeight="1" x14ac:dyDescent="0.25">
      <c r="A163" s="25"/>
      <c r="B163" s="25"/>
      <c r="C163" s="25"/>
    </row>
    <row r="164" spans="1:3" customFormat="1" ht="15.95" customHeight="1" x14ac:dyDescent="0.25">
      <c r="A164" s="25"/>
      <c r="B164" s="25"/>
      <c r="C164" s="25"/>
    </row>
    <row r="165" spans="1:3" customFormat="1" ht="15.95" customHeight="1" x14ac:dyDescent="0.25">
      <c r="A165" s="25"/>
      <c r="B165" s="25"/>
      <c r="C165" s="25"/>
    </row>
    <row r="166" spans="1:3" customFormat="1" ht="15.95" customHeight="1" x14ac:dyDescent="0.25">
      <c r="A166" s="25"/>
      <c r="B166" s="25"/>
      <c r="C166" s="25"/>
    </row>
    <row r="167" spans="1:3" customFormat="1" ht="15.95" customHeight="1" x14ac:dyDescent="0.25">
      <c r="A167" s="25"/>
      <c r="B167" s="25"/>
      <c r="C167" s="25"/>
    </row>
    <row r="168" spans="1:3" customFormat="1" ht="15.95" customHeight="1" x14ac:dyDescent="0.25">
      <c r="A168" s="25"/>
      <c r="B168" s="25"/>
      <c r="C168" s="25"/>
    </row>
    <row r="169" spans="1:3" customFormat="1" ht="15.95" customHeight="1" x14ac:dyDescent="0.25">
      <c r="A169" s="25"/>
      <c r="B169" s="25"/>
      <c r="C169" s="25"/>
    </row>
    <row r="170" spans="1:3" customFormat="1" ht="15.95" customHeight="1" x14ac:dyDescent="0.25">
      <c r="A170" s="25"/>
      <c r="B170" s="25"/>
      <c r="C170" s="25"/>
    </row>
    <row r="171" spans="1:3" customFormat="1" ht="15.95" customHeight="1" x14ac:dyDescent="0.25">
      <c r="A171" s="25"/>
      <c r="B171" s="25"/>
      <c r="C171" s="25"/>
    </row>
    <row r="172" spans="1:3" customFormat="1" ht="15.95" customHeight="1" x14ac:dyDescent="0.25">
      <c r="A172" s="25"/>
      <c r="B172" s="25"/>
      <c r="C172" s="25"/>
    </row>
    <row r="173" spans="1:3" customFormat="1" ht="15.95" customHeight="1" x14ac:dyDescent="0.25">
      <c r="A173" s="25"/>
      <c r="B173" s="25"/>
      <c r="C173" s="25"/>
    </row>
    <row r="174" spans="1:3" customFormat="1" ht="15.95" customHeight="1" x14ac:dyDescent="0.25">
      <c r="A174" s="25"/>
      <c r="B174" s="25"/>
      <c r="C174" s="25"/>
    </row>
    <row r="175" spans="1:3" customFormat="1" ht="15.95" customHeight="1" x14ac:dyDescent="0.25">
      <c r="A175" s="25"/>
      <c r="B175" s="25"/>
      <c r="C175" s="25"/>
    </row>
    <row r="176" spans="1:3" customFormat="1" ht="15.95" customHeight="1" x14ac:dyDescent="0.25">
      <c r="A176" s="25"/>
      <c r="B176" s="25"/>
      <c r="C176" s="25"/>
    </row>
    <row r="177" spans="1:3" customFormat="1" ht="15.95" customHeight="1" x14ac:dyDescent="0.25">
      <c r="A177" s="25"/>
      <c r="B177" s="25"/>
      <c r="C177" s="25"/>
    </row>
    <row r="178" spans="1:3" customFormat="1" ht="15.95" customHeight="1" x14ac:dyDescent="0.25">
      <c r="A178" s="25"/>
      <c r="B178" s="25"/>
      <c r="C178" s="25"/>
    </row>
    <row r="179" spans="1:3" customFormat="1" ht="15.95" customHeight="1" x14ac:dyDescent="0.25">
      <c r="A179" s="25"/>
      <c r="B179" s="25"/>
      <c r="C179" s="25"/>
    </row>
    <row r="180" spans="1:3" customFormat="1" ht="15.95" customHeight="1" x14ac:dyDescent="0.25">
      <c r="A180" s="25"/>
      <c r="B180" s="25"/>
      <c r="C180" s="25"/>
    </row>
    <row r="181" spans="1:3" customFormat="1" ht="15.95" customHeight="1" x14ac:dyDescent="0.25">
      <c r="A181" s="25"/>
      <c r="B181" s="25"/>
      <c r="C181" s="25"/>
    </row>
    <row r="182" spans="1:3" customFormat="1" ht="15.95" customHeight="1" x14ac:dyDescent="0.25">
      <c r="A182" s="25"/>
      <c r="B182" s="25"/>
      <c r="C182" s="25"/>
    </row>
    <row r="183" spans="1:3" customFormat="1" ht="15.95" customHeight="1" x14ac:dyDescent="0.25">
      <c r="A183" s="25"/>
      <c r="B183" s="25"/>
      <c r="C183" s="25"/>
    </row>
    <row r="184" spans="1:3" customFormat="1" ht="15.95" customHeight="1" x14ac:dyDescent="0.25">
      <c r="A184" s="25"/>
      <c r="B184" s="25"/>
      <c r="C184" s="25"/>
    </row>
    <row r="185" spans="1:3" customFormat="1" ht="15.95" customHeight="1" x14ac:dyDescent="0.25">
      <c r="A185" s="25"/>
      <c r="B185" s="25"/>
      <c r="C185" s="25"/>
    </row>
    <row r="186" spans="1:3" customFormat="1" ht="15.95" customHeight="1" x14ac:dyDescent="0.25">
      <c r="A186" s="25"/>
      <c r="B186" s="25"/>
      <c r="C186" s="25"/>
    </row>
    <row r="187" spans="1:3" customFormat="1" ht="15.95" customHeight="1" x14ac:dyDescent="0.25">
      <c r="A187" s="25"/>
      <c r="B187" s="25"/>
      <c r="C187" s="25"/>
    </row>
    <row r="188" spans="1:3" customFormat="1" ht="15.95" customHeight="1" x14ac:dyDescent="0.25">
      <c r="A188" s="25"/>
      <c r="B188" s="25"/>
      <c r="C188" s="25"/>
    </row>
    <row r="189" spans="1:3" customFormat="1" ht="15.95" customHeight="1" x14ac:dyDescent="0.25">
      <c r="A189" s="25"/>
      <c r="B189" s="25"/>
      <c r="C189" s="25"/>
    </row>
    <row r="190" spans="1:3" customFormat="1" ht="15.95" customHeight="1" x14ac:dyDescent="0.25">
      <c r="A190" s="25"/>
      <c r="B190" s="25"/>
      <c r="C190" s="25"/>
    </row>
    <row r="191" spans="1:3" customFormat="1" ht="15.95" customHeight="1" x14ac:dyDescent="0.25">
      <c r="A191" s="25"/>
      <c r="B191" s="25"/>
      <c r="C191" s="25"/>
    </row>
    <row r="192" spans="1:3" customFormat="1" ht="15.95" customHeight="1" x14ac:dyDescent="0.25">
      <c r="A192" s="25"/>
      <c r="B192" s="25"/>
      <c r="C192" s="25"/>
    </row>
    <row r="193" spans="1:3" customFormat="1" ht="15.95" customHeight="1" x14ac:dyDescent="0.25">
      <c r="A193" s="25"/>
      <c r="B193" s="25"/>
      <c r="C193" s="25"/>
    </row>
    <row r="194" spans="1:3" customFormat="1" ht="15.95" customHeight="1" x14ac:dyDescent="0.25">
      <c r="A194" s="25"/>
      <c r="B194" s="25"/>
      <c r="C194" s="25"/>
    </row>
    <row r="195" spans="1:3" customFormat="1" ht="15.95" customHeight="1" x14ac:dyDescent="0.25">
      <c r="A195" s="25"/>
      <c r="B195" s="25"/>
      <c r="C195" s="25"/>
    </row>
    <row r="196" spans="1:3" customFormat="1" ht="15.95" customHeight="1" x14ac:dyDescent="0.25">
      <c r="A196" s="25"/>
      <c r="B196" s="25"/>
      <c r="C196" s="25"/>
    </row>
    <row r="197" spans="1:3" customFormat="1" ht="15.95" customHeight="1" x14ac:dyDescent="0.25">
      <c r="A197" s="25"/>
      <c r="B197" s="25"/>
      <c r="C197" s="25"/>
    </row>
    <row r="198" spans="1:3" customFormat="1" ht="15.95" customHeight="1" x14ac:dyDescent="0.25">
      <c r="A198" s="25"/>
      <c r="B198" s="25"/>
      <c r="C198" s="25"/>
    </row>
    <row r="199" spans="1:3" customFormat="1" ht="15.95" customHeight="1" x14ac:dyDescent="0.25">
      <c r="A199" s="25"/>
      <c r="B199" s="25"/>
      <c r="C199" s="25"/>
    </row>
    <row r="200" spans="1:3" customFormat="1" ht="15.95" customHeight="1" x14ac:dyDescent="0.25">
      <c r="A200" s="25"/>
      <c r="B200" s="25"/>
      <c r="C200" s="25"/>
    </row>
    <row r="201" spans="1:3" customFormat="1" ht="15.95" customHeight="1" x14ac:dyDescent="0.25">
      <c r="A201" s="25"/>
      <c r="B201" s="25"/>
      <c r="C201" s="25"/>
    </row>
    <row r="202" spans="1:3" customFormat="1" ht="15.95" customHeight="1" x14ac:dyDescent="0.25">
      <c r="A202" s="25"/>
      <c r="B202" s="25"/>
      <c r="C202" s="25"/>
    </row>
    <row r="203" spans="1:3" customFormat="1" ht="15.95" customHeight="1" x14ac:dyDescent="0.25">
      <c r="A203" s="25"/>
      <c r="B203" s="25"/>
      <c r="C203" s="25"/>
    </row>
    <row r="204" spans="1:3" customFormat="1" ht="15.95" customHeight="1" x14ac:dyDescent="0.25">
      <c r="A204" s="25"/>
      <c r="B204" s="25"/>
      <c r="C204" s="25"/>
    </row>
    <row r="205" spans="1:3" customFormat="1" ht="15.95" customHeight="1" x14ac:dyDescent="0.25">
      <c r="A205" s="25"/>
      <c r="B205" s="25"/>
      <c r="C205" s="25"/>
    </row>
    <row r="206" spans="1:3" customFormat="1" ht="15.95" customHeight="1" x14ac:dyDescent="0.25">
      <c r="A206" s="25"/>
      <c r="B206" s="25"/>
      <c r="C206" s="25"/>
    </row>
    <row r="207" spans="1:3" customFormat="1" ht="15.95" customHeight="1" x14ac:dyDescent="0.25">
      <c r="A207" s="25"/>
      <c r="B207" s="25"/>
      <c r="C207" s="25"/>
    </row>
    <row r="208" spans="1:3" customFormat="1" ht="15.95" customHeight="1" x14ac:dyDescent="0.25">
      <c r="A208" s="25"/>
      <c r="B208" s="25"/>
      <c r="C208" s="25"/>
    </row>
    <row r="209" spans="1:3" customFormat="1" ht="15.95" customHeight="1" x14ac:dyDescent="0.25">
      <c r="A209" s="25"/>
      <c r="B209" s="25"/>
      <c r="C209" s="25"/>
    </row>
    <row r="210" spans="1:3" customFormat="1" ht="15.95" customHeight="1" x14ac:dyDescent="0.25">
      <c r="A210" s="25"/>
      <c r="B210" s="25"/>
      <c r="C210" s="25"/>
    </row>
    <row r="211" spans="1:3" customFormat="1" ht="15.95" customHeight="1" x14ac:dyDescent="0.25">
      <c r="A211" s="25"/>
      <c r="B211" s="25"/>
      <c r="C211" s="25"/>
    </row>
    <row r="212" spans="1:3" customFormat="1" ht="15.95" customHeight="1" x14ac:dyDescent="0.25">
      <c r="A212" s="25"/>
      <c r="B212" s="25"/>
      <c r="C212" s="25"/>
    </row>
    <row r="213" spans="1:3" customFormat="1" ht="15.95" customHeight="1" x14ac:dyDescent="0.25">
      <c r="A213" s="25"/>
      <c r="B213" s="25"/>
      <c r="C213" s="25"/>
    </row>
    <row r="214" spans="1:3" customFormat="1" ht="15.95" customHeight="1" x14ac:dyDescent="0.25">
      <c r="A214" s="25"/>
      <c r="B214" s="25"/>
      <c r="C214" s="25"/>
    </row>
    <row r="215" spans="1:3" customFormat="1" ht="15.95" customHeight="1" x14ac:dyDescent="0.25">
      <c r="A215" s="25"/>
      <c r="B215" s="25"/>
      <c r="C215" s="25"/>
    </row>
    <row r="216" spans="1:3" customFormat="1" ht="15.95" customHeight="1" x14ac:dyDescent="0.25">
      <c r="A216" s="25"/>
      <c r="B216" s="25"/>
      <c r="C216" s="25"/>
    </row>
    <row r="217" spans="1:3" customFormat="1" ht="15.95" customHeight="1" x14ac:dyDescent="0.25">
      <c r="A217" s="25"/>
      <c r="B217" s="25"/>
      <c r="C217" s="25"/>
    </row>
    <row r="218" spans="1:3" customFormat="1" ht="15.95" customHeight="1" x14ac:dyDescent="0.25">
      <c r="A218" s="25"/>
      <c r="B218" s="25"/>
      <c r="C218" s="25"/>
    </row>
    <row r="219" spans="1:3" customFormat="1" ht="15.95" customHeight="1" x14ac:dyDescent="0.25">
      <c r="A219" s="25"/>
      <c r="B219" s="25"/>
      <c r="C219" s="25"/>
    </row>
    <row r="220" spans="1:3" customFormat="1" ht="15.95" customHeight="1" x14ac:dyDescent="0.25">
      <c r="A220" s="25"/>
      <c r="B220" s="25"/>
      <c r="C220" s="25"/>
    </row>
    <row r="221" spans="1:3" customFormat="1" ht="15.95" customHeight="1" x14ac:dyDescent="0.25">
      <c r="A221" s="25"/>
      <c r="B221" s="25"/>
      <c r="C221" s="25"/>
    </row>
    <row r="222" spans="1:3" customFormat="1" ht="15.95" customHeight="1" x14ac:dyDescent="0.25">
      <c r="A222" s="25"/>
      <c r="B222" s="25"/>
      <c r="C222" s="25"/>
    </row>
    <row r="223" spans="1:3" customFormat="1" ht="15.95" customHeight="1" x14ac:dyDescent="0.25">
      <c r="A223" s="25"/>
      <c r="B223" s="25"/>
      <c r="C223" s="25"/>
    </row>
    <row r="224" spans="1:3" customFormat="1" ht="15.95" customHeight="1" x14ac:dyDescent="0.25">
      <c r="A224" s="25"/>
      <c r="B224" s="25"/>
      <c r="C224" s="25"/>
    </row>
    <row r="225" spans="1:3" customFormat="1" ht="15.95" customHeight="1" x14ac:dyDescent="0.25">
      <c r="A225" s="25"/>
      <c r="B225" s="25"/>
      <c r="C225" s="25"/>
    </row>
    <row r="226" spans="1:3" customFormat="1" ht="15.95" customHeight="1" x14ac:dyDescent="0.25">
      <c r="A226" s="25"/>
      <c r="B226" s="25"/>
      <c r="C226" s="25"/>
    </row>
    <row r="227" spans="1:3" customFormat="1" ht="15.95" customHeight="1" x14ac:dyDescent="0.25">
      <c r="A227" s="25"/>
      <c r="B227" s="25"/>
      <c r="C227" s="25"/>
    </row>
    <row r="228" spans="1:3" customFormat="1" ht="15.95" customHeight="1" x14ac:dyDescent="0.25">
      <c r="A228" s="25"/>
      <c r="B228" s="25"/>
      <c r="C228" s="25"/>
    </row>
    <row r="229" spans="1:3" customFormat="1" ht="15.95" customHeight="1" x14ac:dyDescent="0.25">
      <c r="A229" s="25"/>
      <c r="B229" s="25"/>
      <c r="C229" s="25"/>
    </row>
    <row r="230" spans="1:3" customFormat="1" ht="15.95" customHeight="1" x14ac:dyDescent="0.25">
      <c r="A230" s="25"/>
      <c r="B230" s="25"/>
      <c r="C230" s="25"/>
    </row>
    <row r="231" spans="1:3" customFormat="1" ht="15.95" customHeight="1" x14ac:dyDescent="0.25">
      <c r="A231" s="25"/>
      <c r="B231" s="25"/>
      <c r="C231" s="25"/>
    </row>
    <row r="232" spans="1:3" customFormat="1" ht="15.95" customHeight="1" x14ac:dyDescent="0.25">
      <c r="A232" s="25"/>
      <c r="B232" s="25"/>
      <c r="C232" s="25"/>
    </row>
    <row r="233" spans="1:3" customFormat="1" ht="15.95" customHeight="1" x14ac:dyDescent="0.25">
      <c r="A233" s="25"/>
      <c r="B233" s="25"/>
      <c r="C233" s="25"/>
    </row>
    <row r="234" spans="1:3" customFormat="1" ht="15.95" customHeight="1" x14ac:dyDescent="0.25">
      <c r="A234" s="25"/>
      <c r="B234" s="25"/>
      <c r="C234" s="25"/>
    </row>
    <row r="235" spans="1:3" customFormat="1" ht="15.95" customHeight="1" x14ac:dyDescent="0.25">
      <c r="A235" s="25"/>
      <c r="B235" s="25"/>
      <c r="C235" s="25"/>
    </row>
    <row r="236" spans="1:3" customFormat="1" ht="15.95" customHeight="1" x14ac:dyDescent="0.25">
      <c r="A236" s="25"/>
      <c r="B236" s="25"/>
      <c r="C236" s="25"/>
    </row>
    <row r="237" spans="1:3" customFormat="1" ht="15.95" customHeight="1" x14ac:dyDescent="0.25">
      <c r="A237" s="25"/>
      <c r="B237" s="25"/>
      <c r="C237" s="25"/>
    </row>
    <row r="238" spans="1:3" customFormat="1" ht="15.95" customHeight="1" x14ac:dyDescent="0.25">
      <c r="A238" s="25"/>
      <c r="B238" s="25"/>
      <c r="C238" s="25"/>
    </row>
    <row r="239" spans="1:3" customFormat="1" ht="15.95" customHeight="1" x14ac:dyDescent="0.25">
      <c r="A239" s="25"/>
      <c r="B239" s="25"/>
      <c r="C239" s="25"/>
    </row>
    <row r="240" spans="1:3" customFormat="1" ht="15.95" customHeight="1" x14ac:dyDescent="0.25">
      <c r="A240" s="25"/>
      <c r="B240" s="25"/>
      <c r="C240" s="25"/>
    </row>
    <row r="241" spans="1:3" customFormat="1" ht="15.95" customHeight="1" x14ac:dyDescent="0.25">
      <c r="A241" s="25"/>
      <c r="B241" s="25"/>
      <c r="C241" s="25"/>
    </row>
    <row r="242" spans="1:3" customFormat="1" ht="15.95" customHeight="1" x14ac:dyDescent="0.25">
      <c r="A242" s="25"/>
      <c r="B242" s="25"/>
      <c r="C242" s="25"/>
    </row>
    <row r="243" spans="1:3" customFormat="1" ht="15.95" customHeight="1" x14ac:dyDescent="0.25">
      <c r="A243" s="25"/>
      <c r="B243" s="25"/>
      <c r="C243" s="25"/>
    </row>
    <row r="244" spans="1:3" customFormat="1" ht="15.95" customHeight="1" x14ac:dyDescent="0.25">
      <c r="A244" s="25"/>
      <c r="B244" s="25"/>
      <c r="C244" s="25"/>
    </row>
    <row r="245" spans="1:3" customFormat="1" ht="15.95" customHeight="1" x14ac:dyDescent="0.25">
      <c r="A245" s="25"/>
      <c r="B245" s="25"/>
      <c r="C245" s="25"/>
    </row>
    <row r="246" spans="1:3" customFormat="1" ht="15.95" customHeight="1" x14ac:dyDescent="0.25">
      <c r="A246" s="25"/>
      <c r="B246" s="25"/>
      <c r="C246" s="25"/>
    </row>
    <row r="247" spans="1:3" customFormat="1" ht="15.95" customHeight="1" x14ac:dyDescent="0.25">
      <c r="A247" s="25"/>
      <c r="B247" s="25"/>
      <c r="C247" s="25"/>
    </row>
    <row r="248" spans="1:3" customFormat="1" ht="15.95" customHeight="1" x14ac:dyDescent="0.25">
      <c r="A248" s="25"/>
      <c r="B248" s="25"/>
      <c r="C248" s="25"/>
    </row>
    <row r="249" spans="1:3" customFormat="1" ht="15.95" customHeight="1" x14ac:dyDescent="0.25">
      <c r="A249" s="25"/>
      <c r="B249" s="25"/>
      <c r="C249" s="25"/>
    </row>
    <row r="250" spans="1:3" customFormat="1" ht="15.95" customHeight="1" x14ac:dyDescent="0.25">
      <c r="A250" s="25"/>
      <c r="B250" s="25"/>
      <c r="C250" s="25"/>
    </row>
    <row r="251" spans="1:3" customFormat="1" ht="15.95" customHeight="1" x14ac:dyDescent="0.25">
      <c r="A251" s="25"/>
      <c r="B251" s="25"/>
      <c r="C251" s="25"/>
    </row>
    <row r="252" spans="1:3" customFormat="1" ht="15.95" customHeight="1" x14ac:dyDescent="0.25">
      <c r="A252" s="25"/>
      <c r="B252" s="25"/>
      <c r="C252" s="25"/>
    </row>
    <row r="253" spans="1:3" customFormat="1" ht="15.95" customHeight="1" x14ac:dyDescent="0.25">
      <c r="A253" s="25"/>
      <c r="B253" s="25"/>
      <c r="C253" s="25"/>
    </row>
    <row r="254" spans="1:3" customFormat="1" ht="15.95" customHeight="1" x14ac:dyDescent="0.25">
      <c r="A254" s="25"/>
      <c r="B254" s="25"/>
      <c r="C254" s="25"/>
    </row>
    <row r="255" spans="1:3" customFormat="1" ht="15.95" customHeight="1" x14ac:dyDescent="0.25">
      <c r="A255" s="25"/>
      <c r="B255" s="25"/>
      <c r="C255" s="25"/>
    </row>
    <row r="256" spans="1:3" customFormat="1" ht="15.95" customHeight="1" x14ac:dyDescent="0.25">
      <c r="A256" s="25"/>
      <c r="B256" s="25"/>
      <c r="C256" s="25"/>
    </row>
    <row r="257" spans="1:3" customFormat="1" ht="15.95" customHeight="1" x14ac:dyDescent="0.25">
      <c r="A257" s="25"/>
      <c r="B257" s="25"/>
      <c r="C257" s="25"/>
    </row>
    <row r="258" spans="1:3" customFormat="1" ht="15.95" customHeight="1" x14ac:dyDescent="0.25">
      <c r="A258" s="25"/>
      <c r="B258" s="25"/>
      <c r="C258" s="25"/>
    </row>
    <row r="259" spans="1:3" customFormat="1" ht="15.95" customHeight="1" x14ac:dyDescent="0.25">
      <c r="A259" s="25"/>
      <c r="B259" s="25"/>
      <c r="C259" s="25"/>
    </row>
    <row r="260" spans="1:3" customFormat="1" ht="15.95" customHeight="1" x14ac:dyDescent="0.25">
      <c r="A260" s="25"/>
      <c r="B260" s="25"/>
      <c r="C260" s="25"/>
    </row>
    <row r="261" spans="1:3" customFormat="1" ht="15.95" customHeight="1" x14ac:dyDescent="0.25">
      <c r="A261" s="25"/>
      <c r="B261" s="25"/>
      <c r="C261" s="25"/>
    </row>
    <row r="262" spans="1:3" customFormat="1" ht="15.95" customHeight="1" x14ac:dyDescent="0.25">
      <c r="A262" s="25"/>
      <c r="B262" s="25"/>
      <c r="C262" s="25"/>
    </row>
    <row r="263" spans="1:3" customFormat="1" ht="15.95" customHeight="1" x14ac:dyDescent="0.25">
      <c r="A263" s="25"/>
      <c r="B263" s="25"/>
      <c r="C263" s="25"/>
    </row>
    <row r="264" spans="1:3" customFormat="1" ht="15.95" customHeight="1" x14ac:dyDescent="0.25">
      <c r="A264" s="25"/>
      <c r="B264" s="25"/>
      <c r="C264" s="25"/>
    </row>
    <row r="265" spans="1:3" customFormat="1" ht="15.95" customHeight="1" x14ac:dyDescent="0.25">
      <c r="A265" s="25"/>
      <c r="B265" s="25"/>
      <c r="C265" s="25"/>
    </row>
    <row r="266" spans="1:3" customFormat="1" ht="15.95" customHeight="1" x14ac:dyDescent="0.25">
      <c r="A266" s="25"/>
      <c r="B266" s="25"/>
      <c r="C266" s="25"/>
    </row>
    <row r="267" spans="1:3" customFormat="1" ht="15.95" customHeight="1" x14ac:dyDescent="0.25">
      <c r="A267" s="25"/>
      <c r="B267" s="25"/>
      <c r="C267" s="25"/>
    </row>
    <row r="268" spans="1:3" customFormat="1" ht="15.95" customHeight="1" x14ac:dyDescent="0.25">
      <c r="A268" s="25"/>
      <c r="B268" s="25"/>
      <c r="C268" s="25"/>
    </row>
    <row r="269" spans="1:3" customFormat="1" ht="15.95" customHeight="1" x14ac:dyDescent="0.25">
      <c r="A269" s="25"/>
      <c r="B269" s="25"/>
      <c r="C269" s="25"/>
    </row>
    <row r="270" spans="1:3" customFormat="1" ht="15.95" customHeight="1" x14ac:dyDescent="0.25">
      <c r="A270" s="25"/>
      <c r="B270" s="25"/>
      <c r="C270" s="25"/>
    </row>
    <row r="271" spans="1:3" customFormat="1" ht="15.95" customHeight="1" x14ac:dyDescent="0.25">
      <c r="A271" s="25"/>
      <c r="B271" s="25"/>
      <c r="C271" s="25"/>
    </row>
    <row r="272" spans="1:3" customFormat="1" ht="15.95" customHeight="1" x14ac:dyDescent="0.25">
      <c r="A272" s="25"/>
      <c r="B272" s="25"/>
      <c r="C272" s="25"/>
    </row>
    <row r="273" spans="1:3" customFormat="1" ht="15.95" customHeight="1" x14ac:dyDescent="0.25">
      <c r="A273" s="25"/>
      <c r="B273" s="25"/>
      <c r="C273" s="25"/>
    </row>
    <row r="274" spans="1:3" customFormat="1" ht="15.95" customHeight="1" x14ac:dyDescent="0.25">
      <c r="A274" s="25"/>
      <c r="B274" s="25"/>
      <c r="C274" s="25"/>
    </row>
    <row r="275" spans="1:3" customFormat="1" ht="15.95" customHeight="1" x14ac:dyDescent="0.25">
      <c r="A275" s="25"/>
      <c r="B275" s="25"/>
      <c r="C275" s="25"/>
    </row>
    <row r="276" spans="1:3" customFormat="1" ht="15.95" customHeight="1" x14ac:dyDescent="0.25">
      <c r="A276" s="25"/>
      <c r="B276" s="25"/>
      <c r="C276" s="25"/>
    </row>
    <row r="277" spans="1:3" customFormat="1" ht="15.95" customHeight="1" x14ac:dyDescent="0.25">
      <c r="A277" s="25"/>
      <c r="B277" s="25"/>
      <c r="C277" s="25"/>
    </row>
    <row r="278" spans="1:3" customFormat="1" ht="15.95" customHeight="1" x14ac:dyDescent="0.25">
      <c r="A278" s="25"/>
      <c r="B278" s="25"/>
      <c r="C278" s="25"/>
    </row>
    <row r="279" spans="1:3" customFormat="1" ht="15.95" customHeight="1" x14ac:dyDescent="0.25">
      <c r="A279" s="25"/>
      <c r="B279" s="25"/>
      <c r="C279" s="25"/>
    </row>
    <row r="280" spans="1:3" customFormat="1" ht="15.95" customHeight="1" x14ac:dyDescent="0.25">
      <c r="A280" s="25"/>
      <c r="B280" s="25"/>
      <c r="C280" s="25"/>
    </row>
    <row r="281" spans="1:3" customFormat="1" ht="15.95" customHeight="1" x14ac:dyDescent="0.25">
      <c r="A281" s="25"/>
      <c r="B281" s="25"/>
      <c r="C281" s="25"/>
    </row>
    <row r="282" spans="1:3" customFormat="1" ht="15.95" customHeight="1" x14ac:dyDescent="0.25">
      <c r="A282" s="25"/>
      <c r="B282" s="25"/>
      <c r="C282" s="25"/>
    </row>
    <row r="283" spans="1:3" customFormat="1" ht="15.95" customHeight="1" x14ac:dyDescent="0.25">
      <c r="A283" s="25"/>
      <c r="B283" s="25"/>
      <c r="C283" s="25"/>
    </row>
    <row r="284" spans="1:3" customFormat="1" ht="15.95" customHeight="1" x14ac:dyDescent="0.25">
      <c r="A284" s="25"/>
      <c r="B284" s="25"/>
      <c r="C284" s="25"/>
    </row>
    <row r="285" spans="1:3" customFormat="1" ht="15.95" customHeight="1" x14ac:dyDescent="0.25">
      <c r="A285" s="25"/>
      <c r="B285" s="25"/>
      <c r="C285" s="25"/>
    </row>
    <row r="286" spans="1:3" customFormat="1" ht="15.95" customHeight="1" x14ac:dyDescent="0.25">
      <c r="A286" s="25"/>
      <c r="B286" s="25"/>
      <c r="C286" s="25"/>
    </row>
    <row r="287" spans="1:3" customFormat="1" ht="15.95" customHeight="1" x14ac:dyDescent="0.25">
      <c r="A287" s="25"/>
      <c r="B287" s="25"/>
      <c r="C287" s="25"/>
    </row>
    <row r="288" spans="1:3" customFormat="1" ht="15.95" customHeight="1" x14ac:dyDescent="0.25">
      <c r="A288" s="25"/>
      <c r="B288" s="25"/>
      <c r="C288" s="25"/>
    </row>
    <row r="289" spans="1:3" customFormat="1" ht="15.95" customHeight="1" x14ac:dyDescent="0.25">
      <c r="A289" s="25"/>
      <c r="B289" s="25"/>
      <c r="C289" s="25"/>
    </row>
    <row r="290" spans="1:3" customFormat="1" ht="15.95" customHeight="1" x14ac:dyDescent="0.25">
      <c r="A290" s="25"/>
      <c r="B290" s="25"/>
      <c r="C290" s="25"/>
    </row>
    <row r="291" spans="1:3" customFormat="1" ht="15.95" customHeight="1" x14ac:dyDescent="0.25"/>
    <row r="292" spans="1:3" customFormat="1" ht="15.95" customHeight="1" x14ac:dyDescent="0.25"/>
    <row r="293" spans="1:3" customFormat="1" ht="15.95" customHeight="1" x14ac:dyDescent="0.25"/>
    <row r="294" spans="1:3" customFormat="1" ht="15.95" customHeight="1" x14ac:dyDescent="0.25"/>
    <row r="295" spans="1:3" customFormat="1" ht="15.95" customHeight="1" x14ac:dyDescent="0.25"/>
    <row r="296" spans="1:3" customFormat="1" ht="15.95" customHeight="1" x14ac:dyDescent="0.25"/>
    <row r="297" spans="1:3" customFormat="1" ht="15.95" customHeight="1" x14ac:dyDescent="0.25"/>
    <row r="298" spans="1:3" customFormat="1" ht="15.95" customHeight="1" x14ac:dyDescent="0.25"/>
    <row r="299" spans="1:3" customFormat="1" ht="15.95" customHeight="1" x14ac:dyDescent="0.25"/>
    <row r="300" spans="1:3" customFormat="1" ht="15.95" customHeight="1" x14ac:dyDescent="0.25"/>
    <row r="301" spans="1:3" customFormat="1" ht="15.95" customHeight="1" x14ac:dyDescent="0.25"/>
    <row r="302" spans="1:3" customFormat="1" ht="15.95" customHeight="1" x14ac:dyDescent="0.25"/>
    <row r="303" spans="1:3" customFormat="1" ht="15.95" customHeight="1" x14ac:dyDescent="0.25"/>
    <row r="304" spans="1:3" customFormat="1" ht="15.95" customHeight="1" x14ac:dyDescent="0.25"/>
    <row r="305" customFormat="1" ht="15.95" customHeight="1" x14ac:dyDescent="0.25"/>
    <row r="306" customFormat="1" ht="15.95" customHeight="1" x14ac:dyDescent="0.25"/>
    <row r="307" customFormat="1" ht="15.95" customHeight="1" x14ac:dyDescent="0.25"/>
    <row r="308" customFormat="1" ht="15.95" customHeight="1" x14ac:dyDescent="0.25"/>
    <row r="309" customFormat="1" ht="15.95" customHeight="1" x14ac:dyDescent="0.25"/>
    <row r="310" customFormat="1" ht="15.95" customHeight="1" x14ac:dyDescent="0.25"/>
    <row r="311" customFormat="1" ht="15.95" customHeight="1" x14ac:dyDescent="0.25"/>
    <row r="312" customFormat="1" ht="15.95" customHeight="1" x14ac:dyDescent="0.25"/>
    <row r="313" customFormat="1" ht="15.95" customHeight="1" x14ac:dyDescent="0.25"/>
    <row r="314" customFormat="1" ht="15.95" customHeight="1" x14ac:dyDescent="0.25"/>
    <row r="315" customFormat="1" ht="15.95" customHeight="1" x14ac:dyDescent="0.25"/>
    <row r="316" customFormat="1" ht="15.95" customHeight="1" x14ac:dyDescent="0.25"/>
    <row r="317" customFormat="1" ht="15.95" customHeight="1" x14ac:dyDescent="0.25"/>
    <row r="318" customFormat="1" ht="15.95" customHeight="1" x14ac:dyDescent="0.25"/>
    <row r="319" customFormat="1" ht="15.95" customHeight="1" x14ac:dyDescent="0.25"/>
    <row r="320" customFormat="1" ht="15.95" customHeight="1" x14ac:dyDescent="0.25"/>
    <row r="321" customFormat="1" ht="15.95" customHeight="1" x14ac:dyDescent="0.25"/>
    <row r="322" customFormat="1" ht="15.95" customHeight="1" x14ac:dyDescent="0.25"/>
    <row r="323" customFormat="1" ht="15.95" customHeight="1" x14ac:dyDescent="0.25"/>
    <row r="324" customFormat="1" ht="15.95" customHeight="1" x14ac:dyDescent="0.25"/>
    <row r="325" customFormat="1" ht="15.95" customHeight="1" x14ac:dyDescent="0.25"/>
    <row r="326" customFormat="1" ht="15.95" customHeight="1" x14ac:dyDescent="0.25"/>
    <row r="327" customFormat="1" ht="15.95" customHeight="1" x14ac:dyDescent="0.25"/>
    <row r="328" customFormat="1" ht="15.95" customHeight="1" x14ac:dyDescent="0.25"/>
    <row r="329" customFormat="1" ht="15.95" customHeight="1" x14ac:dyDescent="0.25"/>
    <row r="330" customFormat="1" ht="15.95" customHeight="1" x14ac:dyDescent="0.25"/>
    <row r="331" customFormat="1" ht="15.95" customHeight="1" x14ac:dyDescent="0.25"/>
    <row r="332" customFormat="1" ht="15.95" customHeight="1" x14ac:dyDescent="0.25"/>
    <row r="333" customFormat="1" ht="15.95" customHeight="1" x14ac:dyDescent="0.25"/>
    <row r="334" customFormat="1" ht="15.95" customHeight="1" x14ac:dyDescent="0.25"/>
    <row r="335" customFormat="1" ht="15.95" customHeight="1" x14ac:dyDescent="0.25"/>
    <row r="336" customFormat="1" ht="15.95" customHeight="1" x14ac:dyDescent="0.25"/>
    <row r="337" customFormat="1" ht="15.95" customHeight="1" x14ac:dyDescent="0.25"/>
    <row r="338" customFormat="1" ht="15.95" customHeight="1" x14ac:dyDescent="0.25"/>
    <row r="339" customFormat="1" ht="15.95" customHeight="1" x14ac:dyDescent="0.25"/>
    <row r="340" customFormat="1" ht="15.95" customHeight="1" x14ac:dyDescent="0.25"/>
    <row r="341" customFormat="1" ht="15.95" customHeight="1" x14ac:dyDescent="0.25"/>
    <row r="342" customFormat="1" ht="15.95" customHeight="1" x14ac:dyDescent="0.25"/>
    <row r="343" customFormat="1" ht="15.95" customHeight="1" x14ac:dyDescent="0.25"/>
    <row r="344" customFormat="1" ht="15.95" customHeight="1" x14ac:dyDescent="0.25"/>
    <row r="345" customFormat="1" ht="15.95" customHeight="1" x14ac:dyDescent="0.25"/>
    <row r="346" customFormat="1" ht="15.95" customHeight="1" x14ac:dyDescent="0.25"/>
    <row r="347" customFormat="1" ht="15.95" customHeight="1" x14ac:dyDescent="0.25"/>
    <row r="348" customFormat="1" ht="15.95" customHeight="1" x14ac:dyDescent="0.25"/>
    <row r="349" customFormat="1" ht="15.95" customHeight="1" x14ac:dyDescent="0.25"/>
    <row r="350" customFormat="1" ht="15.95" customHeight="1" x14ac:dyDescent="0.25"/>
    <row r="351" customFormat="1" ht="15.95" customHeight="1" x14ac:dyDescent="0.25"/>
    <row r="352" customFormat="1" ht="15.95" customHeight="1" x14ac:dyDescent="0.25"/>
    <row r="353" customFormat="1" ht="15.95" customHeight="1" x14ac:dyDescent="0.25"/>
    <row r="354" customFormat="1" ht="15.95" customHeight="1" x14ac:dyDescent="0.25"/>
    <row r="355" customFormat="1" ht="15.95" customHeight="1" x14ac:dyDescent="0.25"/>
    <row r="356" customFormat="1" ht="15.95" customHeight="1" x14ac:dyDescent="0.25"/>
    <row r="357" customFormat="1" ht="15.95" customHeight="1" x14ac:dyDescent="0.25"/>
    <row r="358" customFormat="1" ht="15.95" customHeight="1" x14ac:dyDescent="0.25"/>
    <row r="359" customFormat="1" ht="15.95" customHeight="1" x14ac:dyDescent="0.25"/>
    <row r="360" customFormat="1" ht="15.95" customHeight="1" x14ac:dyDescent="0.25"/>
    <row r="361" customFormat="1" ht="15.95" customHeight="1" x14ac:dyDescent="0.25"/>
    <row r="362" customFormat="1" ht="15.95" customHeight="1" x14ac:dyDescent="0.25"/>
    <row r="363" customFormat="1" ht="15.95" customHeight="1" x14ac:dyDescent="0.25"/>
    <row r="364" customFormat="1" ht="15.95" customHeight="1" x14ac:dyDescent="0.25"/>
    <row r="365" customFormat="1" ht="15.95" customHeight="1" x14ac:dyDescent="0.25"/>
    <row r="366" customFormat="1" ht="15.95" customHeight="1" x14ac:dyDescent="0.25"/>
    <row r="367" customFormat="1" ht="15.95" customHeight="1" x14ac:dyDescent="0.25"/>
    <row r="368" customFormat="1" ht="15.95" customHeight="1" x14ac:dyDescent="0.25"/>
    <row r="369" customFormat="1" ht="15.95" customHeight="1" x14ac:dyDescent="0.25"/>
    <row r="370" customFormat="1" ht="15.95" customHeight="1" x14ac:dyDescent="0.25"/>
    <row r="371" customFormat="1" ht="15.95" customHeight="1" x14ac:dyDescent="0.25"/>
    <row r="372" customFormat="1" ht="15.95" customHeight="1" x14ac:dyDescent="0.25"/>
    <row r="373" customFormat="1" ht="15.95" customHeight="1" x14ac:dyDescent="0.25"/>
    <row r="374" customFormat="1" ht="15.95" customHeight="1" x14ac:dyDescent="0.25"/>
    <row r="375" customFormat="1" ht="15.95" customHeight="1" x14ac:dyDescent="0.25"/>
    <row r="376" customFormat="1" ht="15.95" customHeight="1" x14ac:dyDescent="0.25"/>
    <row r="377" customFormat="1" ht="15.95" customHeight="1" x14ac:dyDescent="0.25"/>
    <row r="378" customFormat="1" ht="15.95" customHeight="1" x14ac:dyDescent="0.25"/>
    <row r="379" customFormat="1" ht="15.95" customHeight="1" x14ac:dyDescent="0.25"/>
    <row r="380" customFormat="1" ht="15.95" customHeight="1" x14ac:dyDescent="0.25"/>
    <row r="381" customFormat="1" ht="15.95" customHeight="1" x14ac:dyDescent="0.25"/>
    <row r="382" customFormat="1" ht="15.95" customHeight="1" x14ac:dyDescent="0.25"/>
    <row r="383" customFormat="1" ht="15.95" customHeight="1" x14ac:dyDescent="0.25"/>
    <row r="384" customFormat="1" ht="15.95" customHeight="1" x14ac:dyDescent="0.25"/>
    <row r="385" customFormat="1" ht="15.95" customHeight="1" x14ac:dyDescent="0.25"/>
    <row r="386" customFormat="1" ht="15.95" customHeight="1" x14ac:dyDescent="0.25"/>
    <row r="387" customFormat="1" ht="15.95" customHeight="1" x14ac:dyDescent="0.25"/>
    <row r="388" customFormat="1" ht="15.95" customHeight="1" x14ac:dyDescent="0.25"/>
    <row r="389" customFormat="1" ht="15.95" customHeight="1" x14ac:dyDescent="0.25"/>
    <row r="390" customFormat="1" ht="15.95" customHeight="1" x14ac:dyDescent="0.25"/>
    <row r="391" customFormat="1" ht="15.95" customHeight="1" x14ac:dyDescent="0.25"/>
    <row r="392" customFormat="1" ht="15.95" customHeight="1" x14ac:dyDescent="0.25"/>
    <row r="393" customFormat="1" ht="15.95" customHeight="1" x14ac:dyDescent="0.25"/>
    <row r="394" customFormat="1" ht="15.95" customHeight="1" x14ac:dyDescent="0.25"/>
    <row r="395" customFormat="1" ht="15.95" customHeight="1" x14ac:dyDescent="0.25"/>
    <row r="396" customFormat="1" ht="15.95" customHeight="1" x14ac:dyDescent="0.25"/>
    <row r="397" customFormat="1" ht="15.95" customHeight="1" x14ac:dyDescent="0.25"/>
    <row r="398" customFormat="1" ht="15.95" customHeight="1" x14ac:dyDescent="0.25"/>
    <row r="399" customFormat="1" ht="15.95" customHeight="1" x14ac:dyDescent="0.25"/>
    <row r="400" customFormat="1" ht="15.95" customHeight="1" x14ac:dyDescent="0.25"/>
    <row r="401" customFormat="1" ht="15.95" customHeight="1" x14ac:dyDescent="0.25"/>
    <row r="402" customFormat="1" ht="15.95" customHeight="1" x14ac:dyDescent="0.25"/>
    <row r="403" customFormat="1" ht="15.95" customHeight="1" x14ac:dyDescent="0.25"/>
    <row r="404" customFormat="1" ht="15.95" customHeight="1" x14ac:dyDescent="0.25"/>
    <row r="405" customFormat="1" ht="15.95" customHeight="1" x14ac:dyDescent="0.25"/>
    <row r="406" customFormat="1" ht="15.95" customHeight="1" x14ac:dyDescent="0.25"/>
    <row r="407" customFormat="1" ht="15.95" customHeight="1" x14ac:dyDescent="0.25"/>
    <row r="408" customFormat="1" ht="15.95" customHeight="1" x14ac:dyDescent="0.25"/>
    <row r="409" customFormat="1" ht="15.95" customHeight="1" x14ac:dyDescent="0.25"/>
    <row r="410" customFormat="1" ht="15.95" customHeight="1" x14ac:dyDescent="0.25"/>
    <row r="411" customFormat="1" ht="15.95" customHeight="1" x14ac:dyDescent="0.25"/>
    <row r="412" customFormat="1" ht="15.95" customHeight="1" x14ac:dyDescent="0.25"/>
    <row r="413" customFormat="1" ht="15.95" customHeight="1" x14ac:dyDescent="0.25"/>
    <row r="414" customFormat="1" ht="15.95" customHeight="1" x14ac:dyDescent="0.25"/>
    <row r="415" customFormat="1" ht="15.95" customHeight="1" x14ac:dyDescent="0.25"/>
    <row r="416" customFormat="1" ht="15.95" customHeight="1" x14ac:dyDescent="0.25"/>
    <row r="417" customFormat="1" ht="15.95" customHeight="1" x14ac:dyDescent="0.25"/>
    <row r="418" customFormat="1" ht="15.95" customHeight="1" x14ac:dyDescent="0.25"/>
    <row r="419" customFormat="1" ht="15.95" customHeight="1" x14ac:dyDescent="0.25"/>
    <row r="420" customFormat="1" ht="15.95" customHeight="1" x14ac:dyDescent="0.25"/>
    <row r="421" customFormat="1" ht="15.95" customHeight="1" x14ac:dyDescent="0.25"/>
    <row r="422" customFormat="1" ht="15.95" customHeight="1" x14ac:dyDescent="0.25"/>
    <row r="423" customFormat="1" ht="15.95" customHeight="1" x14ac:dyDescent="0.25"/>
    <row r="424" customFormat="1" ht="15.95" customHeight="1" x14ac:dyDescent="0.25"/>
    <row r="425" customFormat="1" ht="15.95" customHeight="1" x14ac:dyDescent="0.25"/>
    <row r="426" customFormat="1" ht="15.95" customHeight="1" x14ac:dyDescent="0.25"/>
    <row r="427" customFormat="1" ht="15.95" customHeight="1" x14ac:dyDescent="0.25"/>
    <row r="428" customFormat="1" ht="15.95" customHeight="1" x14ac:dyDescent="0.25"/>
    <row r="429" customFormat="1" ht="15.95" customHeight="1" x14ac:dyDescent="0.25"/>
    <row r="430" customFormat="1" ht="15.95" customHeight="1" x14ac:dyDescent="0.25"/>
    <row r="431" customFormat="1" ht="15.95" customHeight="1" x14ac:dyDescent="0.25"/>
    <row r="432" customFormat="1" ht="15.95" customHeight="1" x14ac:dyDescent="0.25"/>
    <row r="433" customFormat="1" ht="15.95" customHeight="1" x14ac:dyDescent="0.25"/>
    <row r="434" customFormat="1" ht="15.95" customHeight="1" x14ac:dyDescent="0.25"/>
    <row r="435" customFormat="1" ht="15.95" customHeight="1" x14ac:dyDescent="0.25"/>
    <row r="436" customFormat="1" ht="15.95" customHeight="1" x14ac:dyDescent="0.25"/>
    <row r="437" customFormat="1" ht="15.95" customHeight="1" x14ac:dyDescent="0.25"/>
    <row r="438" customFormat="1" ht="15.95" customHeight="1" x14ac:dyDescent="0.25"/>
    <row r="439" customFormat="1" ht="15.95" customHeight="1" x14ac:dyDescent="0.25"/>
    <row r="440" customFormat="1" ht="15.95" customHeight="1" x14ac:dyDescent="0.25"/>
    <row r="441" customFormat="1" ht="15.95" customHeight="1" x14ac:dyDescent="0.25"/>
    <row r="442" customFormat="1" ht="15.95" customHeight="1" x14ac:dyDescent="0.25"/>
    <row r="443" customFormat="1" ht="15.95" customHeight="1" x14ac:dyDescent="0.25"/>
    <row r="444" customFormat="1" ht="15.95" customHeight="1" x14ac:dyDescent="0.25"/>
    <row r="445" customFormat="1" ht="15.95" customHeight="1" x14ac:dyDescent="0.25"/>
    <row r="446" customFormat="1" ht="15.95" customHeight="1" x14ac:dyDescent="0.25"/>
    <row r="447" customFormat="1" ht="15.95" customHeight="1" x14ac:dyDescent="0.25"/>
    <row r="448" customFormat="1" ht="15.95" customHeight="1" x14ac:dyDescent="0.25"/>
    <row r="449" customFormat="1" ht="15.95" customHeight="1" x14ac:dyDescent="0.25"/>
    <row r="450" customFormat="1" ht="15.95" customHeight="1" x14ac:dyDescent="0.25"/>
    <row r="451" customFormat="1" ht="15.95" customHeight="1" x14ac:dyDescent="0.25"/>
    <row r="452" customFormat="1" ht="15.95" customHeight="1" x14ac:dyDescent="0.25"/>
    <row r="453" customFormat="1" ht="15.95" customHeight="1" x14ac:dyDescent="0.25"/>
    <row r="454" customFormat="1" ht="15.95" customHeight="1" x14ac:dyDescent="0.25"/>
    <row r="455" customFormat="1" ht="15.95" customHeight="1" x14ac:dyDescent="0.25"/>
    <row r="456" customFormat="1" ht="15.95" customHeight="1" x14ac:dyDescent="0.25"/>
    <row r="457" customFormat="1" ht="15.95" customHeight="1" x14ac:dyDescent="0.25"/>
    <row r="458" customFormat="1" ht="15.95" customHeight="1" x14ac:dyDescent="0.25"/>
    <row r="459" customFormat="1" ht="15.95" customHeight="1" x14ac:dyDescent="0.25"/>
    <row r="460" customFormat="1" ht="15.95" customHeight="1" x14ac:dyDescent="0.25"/>
    <row r="461" customFormat="1" ht="15.95" customHeight="1" x14ac:dyDescent="0.25"/>
    <row r="462" customFormat="1" ht="15.95" customHeight="1" x14ac:dyDescent="0.25"/>
    <row r="463" customFormat="1" ht="15.95" customHeight="1" x14ac:dyDescent="0.25"/>
    <row r="464" customFormat="1" ht="15.95" customHeight="1" x14ac:dyDescent="0.25"/>
    <row r="465" customFormat="1" ht="15.95" customHeight="1" x14ac:dyDescent="0.25"/>
    <row r="466" customFormat="1" ht="15.95" customHeight="1" x14ac:dyDescent="0.25"/>
    <row r="467" customFormat="1" ht="15.95" customHeight="1" x14ac:dyDescent="0.25"/>
    <row r="468" customFormat="1" ht="15.95" customHeight="1" x14ac:dyDescent="0.25"/>
    <row r="469" customFormat="1" ht="15.95" customHeight="1" x14ac:dyDescent="0.25"/>
    <row r="470" customFormat="1" ht="15.95" customHeight="1" x14ac:dyDescent="0.25"/>
    <row r="471" customFormat="1" ht="15.95" customHeight="1" x14ac:dyDescent="0.25"/>
    <row r="472" customFormat="1" ht="15.95" customHeight="1" x14ac:dyDescent="0.25"/>
    <row r="473" customFormat="1" ht="15.95" customHeight="1" x14ac:dyDescent="0.25"/>
    <row r="474" customFormat="1" ht="15.95" customHeight="1" x14ac:dyDescent="0.25"/>
    <row r="475" customFormat="1" ht="15.95" customHeight="1" x14ac:dyDescent="0.25"/>
    <row r="476" customFormat="1" ht="15.95" customHeight="1" x14ac:dyDescent="0.25"/>
    <row r="477" customFormat="1" ht="15.95" customHeight="1" x14ac:dyDescent="0.25"/>
    <row r="478" customFormat="1" ht="15.95" customHeight="1" x14ac:dyDescent="0.25"/>
    <row r="479" customFormat="1" ht="15.95" customHeight="1" x14ac:dyDescent="0.25"/>
    <row r="480" customFormat="1" ht="15.95" customHeight="1" x14ac:dyDescent="0.25"/>
    <row r="481" customFormat="1" ht="15.95" customHeight="1" x14ac:dyDescent="0.25"/>
    <row r="482" customFormat="1" ht="15.95" customHeight="1" x14ac:dyDescent="0.25"/>
    <row r="483" customFormat="1" ht="15.95" customHeight="1" x14ac:dyDescent="0.25"/>
    <row r="484" customFormat="1" ht="15.95" customHeight="1" x14ac:dyDescent="0.25"/>
    <row r="485" customFormat="1" ht="15.95" customHeight="1" x14ac:dyDescent="0.25"/>
    <row r="486" customFormat="1" ht="15.95" customHeight="1" x14ac:dyDescent="0.25"/>
    <row r="487" customFormat="1" ht="15.95" customHeight="1" x14ac:dyDescent="0.25"/>
    <row r="488" customFormat="1" ht="15.95" customHeight="1" x14ac:dyDescent="0.25"/>
    <row r="489" customFormat="1" ht="15.95" customHeight="1" x14ac:dyDescent="0.25"/>
    <row r="490" customFormat="1" ht="15.95" customHeight="1" x14ac:dyDescent="0.25"/>
    <row r="491" customFormat="1" ht="15.95" customHeight="1" x14ac:dyDescent="0.25"/>
    <row r="492" customFormat="1" ht="15.95" customHeight="1" x14ac:dyDescent="0.25"/>
    <row r="493" customFormat="1" ht="15.95" customHeight="1" x14ac:dyDescent="0.25"/>
    <row r="494" customFormat="1" ht="15.95" customHeight="1" x14ac:dyDescent="0.25"/>
    <row r="495" customFormat="1" ht="15.95" customHeight="1" x14ac:dyDescent="0.25"/>
    <row r="496" customFormat="1" ht="15.95" customHeight="1" x14ac:dyDescent="0.25"/>
    <row r="497" customFormat="1" ht="15.95" customHeight="1" x14ac:dyDescent="0.25"/>
    <row r="498" customFormat="1" ht="15.95" customHeight="1" x14ac:dyDescent="0.25"/>
    <row r="499" customFormat="1" ht="15.95" customHeight="1" x14ac:dyDescent="0.25"/>
    <row r="500" customFormat="1" ht="15.95" customHeight="1" x14ac:dyDescent="0.25"/>
    <row r="501" customFormat="1" ht="15.95" customHeight="1" x14ac:dyDescent="0.25"/>
    <row r="502" customFormat="1" ht="15.95" customHeight="1" x14ac:dyDescent="0.25"/>
    <row r="503" customFormat="1" ht="15.95" customHeight="1" x14ac:dyDescent="0.25"/>
    <row r="504" customFormat="1" ht="15.95" customHeight="1" x14ac:dyDescent="0.25"/>
    <row r="505" customFormat="1" ht="15.95" customHeight="1" x14ac:dyDescent="0.25"/>
    <row r="506" customFormat="1" ht="15.95" customHeight="1" x14ac:dyDescent="0.25"/>
    <row r="507" customFormat="1" ht="15.95" customHeight="1" x14ac:dyDescent="0.25"/>
    <row r="508" customFormat="1" ht="15.95" customHeight="1" x14ac:dyDescent="0.25"/>
    <row r="509" customFormat="1" ht="15.95" customHeight="1" x14ac:dyDescent="0.25"/>
    <row r="510" customFormat="1" ht="15.95" customHeight="1" x14ac:dyDescent="0.25"/>
    <row r="511" customFormat="1" ht="15.95" customHeight="1" x14ac:dyDescent="0.25"/>
    <row r="512" customFormat="1" ht="15.95" customHeight="1" x14ac:dyDescent="0.25"/>
    <row r="513" customFormat="1" ht="15.95" customHeight="1" x14ac:dyDescent="0.25"/>
    <row r="514" customFormat="1" ht="15.95" customHeight="1" x14ac:dyDescent="0.25"/>
    <row r="515" customFormat="1" ht="15.95" customHeight="1" x14ac:dyDescent="0.25"/>
    <row r="516" customFormat="1" ht="15.95" customHeight="1" x14ac:dyDescent="0.25"/>
    <row r="517" customFormat="1" ht="15.95" customHeight="1" x14ac:dyDescent="0.25"/>
    <row r="518" customFormat="1" ht="15.95" customHeight="1" x14ac:dyDescent="0.25"/>
    <row r="519" customFormat="1" ht="15.95" customHeight="1" x14ac:dyDescent="0.25"/>
    <row r="520" customFormat="1" ht="15.95" customHeight="1" x14ac:dyDescent="0.25"/>
    <row r="521" customFormat="1" ht="15.95" customHeight="1" x14ac:dyDescent="0.25"/>
    <row r="522" customFormat="1" ht="15.95" customHeight="1" x14ac:dyDescent="0.25"/>
    <row r="523" customFormat="1" ht="15.95" customHeight="1" x14ac:dyDescent="0.25"/>
    <row r="524" customFormat="1" ht="15.95" customHeight="1" x14ac:dyDescent="0.25"/>
    <row r="525" customFormat="1" ht="15.95" customHeight="1" x14ac:dyDescent="0.25"/>
    <row r="526" customFormat="1" ht="15.95" customHeight="1" x14ac:dyDescent="0.25"/>
    <row r="527" customFormat="1" ht="15.95" customHeight="1" x14ac:dyDescent="0.25"/>
    <row r="528" customFormat="1" ht="15.95" customHeight="1" x14ac:dyDescent="0.25"/>
    <row r="529" customFormat="1" ht="15.95" customHeight="1" x14ac:dyDescent="0.25"/>
    <row r="530" customFormat="1" ht="15.95" customHeight="1" x14ac:dyDescent="0.25"/>
    <row r="531" customFormat="1" ht="15.95" customHeight="1" x14ac:dyDescent="0.25"/>
    <row r="532" customFormat="1" ht="15.95" customHeight="1" x14ac:dyDescent="0.25"/>
    <row r="533" customFormat="1" ht="15.95" customHeight="1" x14ac:dyDescent="0.25"/>
    <row r="534" customFormat="1" ht="15.95" customHeight="1" x14ac:dyDescent="0.25"/>
    <row r="535" customFormat="1" ht="15.95" customHeight="1" x14ac:dyDescent="0.25"/>
    <row r="536" customFormat="1" ht="15.95" customHeight="1" x14ac:dyDescent="0.25"/>
    <row r="537" customFormat="1" ht="15.95" customHeight="1" x14ac:dyDescent="0.25"/>
    <row r="538" customFormat="1" ht="15.95" customHeight="1" x14ac:dyDescent="0.25"/>
    <row r="539" customFormat="1" ht="15.95" customHeight="1" x14ac:dyDescent="0.25"/>
    <row r="540" customFormat="1" ht="15.95" customHeight="1" x14ac:dyDescent="0.25"/>
    <row r="541" customFormat="1" ht="15.95" customHeight="1" x14ac:dyDescent="0.25"/>
    <row r="542" customFormat="1" ht="15.95" customHeight="1" x14ac:dyDescent="0.25"/>
    <row r="543" customFormat="1" ht="15.95" customHeight="1" x14ac:dyDescent="0.25"/>
    <row r="544" customFormat="1" ht="15.95" customHeight="1" x14ac:dyDescent="0.25"/>
    <row r="545" customFormat="1" ht="15.95" customHeight="1" x14ac:dyDescent="0.25"/>
    <row r="546" customFormat="1" ht="15.95" customHeight="1" x14ac:dyDescent="0.25"/>
    <row r="547" customFormat="1" ht="15.95" customHeight="1" x14ac:dyDescent="0.25"/>
    <row r="548" customFormat="1" ht="15.95" customHeight="1" x14ac:dyDescent="0.25"/>
    <row r="549" customFormat="1" ht="15.95" customHeight="1" x14ac:dyDescent="0.25"/>
    <row r="550" customFormat="1" ht="15.95" customHeight="1" x14ac:dyDescent="0.25"/>
    <row r="551" customFormat="1" ht="15.95" customHeight="1" x14ac:dyDescent="0.25"/>
    <row r="552" customFormat="1" ht="15.95" customHeight="1" x14ac:dyDescent="0.25"/>
    <row r="553" customFormat="1" ht="15.95" customHeight="1" x14ac:dyDescent="0.25"/>
    <row r="554" customFormat="1" ht="15.95" customHeight="1" x14ac:dyDescent="0.25"/>
    <row r="555" customFormat="1" ht="15.95" customHeight="1" x14ac:dyDescent="0.25"/>
    <row r="556" customFormat="1" ht="15.95" customHeight="1" x14ac:dyDescent="0.25"/>
    <row r="557" customFormat="1" ht="15.95" customHeight="1" x14ac:dyDescent="0.25"/>
    <row r="558" customFormat="1" ht="15.95" customHeight="1" x14ac:dyDescent="0.25"/>
    <row r="559" customFormat="1" ht="15.95" customHeight="1" x14ac:dyDescent="0.25"/>
    <row r="560" customFormat="1" ht="15.95" customHeight="1" x14ac:dyDescent="0.25"/>
    <row r="561" customFormat="1" ht="15.95" customHeight="1" x14ac:dyDescent="0.25"/>
    <row r="562" customFormat="1" ht="15.95" customHeight="1" x14ac:dyDescent="0.25"/>
    <row r="563" customFormat="1" ht="15.95" customHeight="1" x14ac:dyDescent="0.25"/>
    <row r="564" customFormat="1" ht="15.95" customHeight="1" x14ac:dyDescent="0.25"/>
    <row r="565" customFormat="1" ht="15.95" customHeight="1" x14ac:dyDescent="0.25"/>
    <row r="566" customFormat="1" ht="15.95" customHeight="1" x14ac:dyDescent="0.25"/>
    <row r="567" customFormat="1" ht="15.95" customHeight="1" x14ac:dyDescent="0.25"/>
    <row r="568" customFormat="1" ht="15.95" customHeight="1" x14ac:dyDescent="0.25"/>
    <row r="569" customFormat="1" ht="15.95" customHeight="1" x14ac:dyDescent="0.25"/>
    <row r="570" customFormat="1" ht="15.95" customHeight="1" x14ac:dyDescent="0.25"/>
    <row r="571" customFormat="1" ht="15.95" customHeight="1" x14ac:dyDescent="0.25"/>
    <row r="572" customFormat="1" ht="15.95" customHeight="1" x14ac:dyDescent="0.25"/>
    <row r="573" customFormat="1" ht="15.95" customHeight="1" x14ac:dyDescent="0.25"/>
    <row r="574" customFormat="1" ht="15.95" customHeight="1" x14ac:dyDescent="0.25"/>
    <row r="575" customFormat="1" ht="15.95" customHeight="1" x14ac:dyDescent="0.25"/>
    <row r="576" customFormat="1" ht="15.95" customHeight="1" x14ac:dyDescent="0.25"/>
    <row r="577" customFormat="1" ht="15.95" customHeight="1" x14ac:dyDescent="0.25"/>
    <row r="578" customFormat="1" ht="15.95" customHeight="1" x14ac:dyDescent="0.25"/>
    <row r="579" customFormat="1" ht="15.95" customHeight="1" x14ac:dyDescent="0.25"/>
    <row r="580" customFormat="1" ht="15.95" customHeight="1" x14ac:dyDescent="0.25"/>
    <row r="581" customFormat="1" ht="15.95" customHeight="1" x14ac:dyDescent="0.25"/>
    <row r="582" customFormat="1" ht="15.95" customHeight="1" x14ac:dyDescent="0.25"/>
    <row r="583" customFormat="1" ht="15.95" customHeight="1" x14ac:dyDescent="0.25"/>
    <row r="584" customFormat="1" ht="15.95" customHeight="1" x14ac:dyDescent="0.25"/>
    <row r="585" customFormat="1" ht="15.95" customHeight="1" x14ac:dyDescent="0.25"/>
    <row r="586" customFormat="1" ht="15.95" customHeight="1" x14ac:dyDescent="0.25"/>
    <row r="587" customFormat="1" ht="15.95" customHeight="1" x14ac:dyDescent="0.25"/>
    <row r="588" customFormat="1" ht="15.95" customHeight="1" x14ac:dyDescent="0.25"/>
    <row r="589" customFormat="1" ht="15.95" customHeight="1" x14ac:dyDescent="0.25"/>
    <row r="590" customFormat="1" ht="15.95" customHeight="1" x14ac:dyDescent="0.25"/>
    <row r="591" customFormat="1" ht="15.95" customHeight="1" x14ac:dyDescent="0.25"/>
    <row r="592" customFormat="1" ht="15.95" customHeight="1" x14ac:dyDescent="0.25"/>
    <row r="593" customFormat="1" ht="15.95" customHeight="1" x14ac:dyDescent="0.25"/>
    <row r="594" customFormat="1" ht="15.95" customHeight="1" x14ac:dyDescent="0.25"/>
    <row r="595" customFormat="1" ht="15.95" customHeight="1" x14ac:dyDescent="0.25"/>
    <row r="596" customFormat="1" ht="15.95" customHeight="1" x14ac:dyDescent="0.25"/>
    <row r="597" customFormat="1" ht="15.95" customHeight="1" x14ac:dyDescent="0.25"/>
    <row r="598" customFormat="1" ht="15.95" customHeight="1" x14ac:dyDescent="0.25"/>
    <row r="599" customFormat="1" ht="15.95" customHeight="1" x14ac:dyDescent="0.25"/>
    <row r="600" customFormat="1" ht="15.95" customHeight="1" x14ac:dyDescent="0.25"/>
    <row r="601" customFormat="1" ht="15.95" customHeight="1" x14ac:dyDescent="0.25"/>
    <row r="602" customFormat="1" ht="15.95" customHeight="1" x14ac:dyDescent="0.25"/>
    <row r="603" customFormat="1" ht="15.95" customHeight="1" x14ac:dyDescent="0.25"/>
    <row r="604" customFormat="1" ht="15.95" customHeight="1" x14ac:dyDescent="0.25"/>
    <row r="605" customFormat="1" ht="15.95" customHeight="1" x14ac:dyDescent="0.25"/>
    <row r="606" customFormat="1" ht="15.95" customHeight="1" x14ac:dyDescent="0.25"/>
    <row r="607" customFormat="1" ht="15.95" customHeight="1" x14ac:dyDescent="0.25"/>
    <row r="608" customFormat="1" ht="15.95" customHeight="1" x14ac:dyDescent="0.25"/>
    <row r="609" customFormat="1" ht="15.95" customHeight="1" x14ac:dyDescent="0.25"/>
    <row r="610" customFormat="1" ht="15.95" customHeight="1" x14ac:dyDescent="0.25"/>
    <row r="611" customFormat="1" ht="15.95" customHeight="1" x14ac:dyDescent="0.25"/>
    <row r="612" customFormat="1" ht="15.95" customHeight="1" x14ac:dyDescent="0.25"/>
    <row r="613" customFormat="1" ht="15.95" customHeight="1" x14ac:dyDescent="0.25"/>
    <row r="614" customFormat="1" ht="15.95" customHeight="1" x14ac:dyDescent="0.25"/>
    <row r="615" customFormat="1" ht="15.95" customHeight="1" x14ac:dyDescent="0.25"/>
    <row r="616" customFormat="1" ht="15.95" customHeight="1" x14ac:dyDescent="0.25"/>
    <row r="617" customFormat="1" ht="15.95" customHeight="1" x14ac:dyDescent="0.25"/>
    <row r="618" customFormat="1" ht="15.95" customHeight="1" x14ac:dyDescent="0.25"/>
    <row r="619" customFormat="1" ht="15.95" customHeight="1" x14ac:dyDescent="0.25"/>
    <row r="620" customFormat="1" ht="15.95" customHeight="1" x14ac:dyDescent="0.25"/>
    <row r="621" customFormat="1" ht="15.95" customHeight="1" x14ac:dyDescent="0.25"/>
    <row r="622" customFormat="1" ht="15.95" customHeight="1" x14ac:dyDescent="0.25"/>
    <row r="623" customFormat="1" ht="15.95" customHeight="1" x14ac:dyDescent="0.25"/>
    <row r="624" customFormat="1" ht="15.95" customHeight="1" x14ac:dyDescent="0.25"/>
    <row r="625" customFormat="1" ht="15.95" customHeight="1" x14ac:dyDescent="0.25"/>
    <row r="626" customFormat="1" ht="15.95" customHeight="1" x14ac:dyDescent="0.25"/>
    <row r="627" customFormat="1" ht="15.95" customHeight="1" x14ac:dyDescent="0.25"/>
    <row r="628" customFormat="1" ht="15.95" customHeight="1" x14ac:dyDescent="0.25"/>
    <row r="629" customFormat="1" ht="15.95" customHeight="1" x14ac:dyDescent="0.25"/>
    <row r="630" customFormat="1" ht="15.95" customHeight="1" x14ac:dyDescent="0.25"/>
    <row r="631" customFormat="1" ht="15.95" customHeight="1" x14ac:dyDescent="0.25"/>
    <row r="632" customFormat="1" ht="15.95" customHeight="1" x14ac:dyDescent="0.25"/>
    <row r="633" customFormat="1" ht="15.95" customHeight="1" x14ac:dyDescent="0.25"/>
    <row r="634" customFormat="1" ht="15.95" customHeight="1" x14ac:dyDescent="0.25"/>
    <row r="635" customFormat="1" ht="15.95" customHeight="1" x14ac:dyDescent="0.25"/>
    <row r="636" customFormat="1" ht="15.95" customHeight="1" x14ac:dyDescent="0.25"/>
    <row r="637" customFormat="1" ht="15.95" customHeight="1" x14ac:dyDescent="0.25"/>
    <row r="638" customFormat="1" ht="15.95" customHeight="1" x14ac:dyDescent="0.25"/>
    <row r="639" customFormat="1" ht="15.95" customHeight="1" x14ac:dyDescent="0.25"/>
    <row r="640" customFormat="1" ht="15.95" customHeight="1" x14ac:dyDescent="0.25"/>
    <row r="641" customFormat="1" ht="15.95" customHeight="1" x14ac:dyDescent="0.25"/>
    <row r="642" customFormat="1" ht="15.95" customHeight="1" x14ac:dyDescent="0.25"/>
    <row r="643" customFormat="1" ht="15.95" customHeight="1" x14ac:dyDescent="0.25"/>
    <row r="644" customFormat="1" ht="15.95" customHeight="1" x14ac:dyDescent="0.25"/>
    <row r="645" customFormat="1" ht="15.95" customHeight="1" x14ac:dyDescent="0.25"/>
    <row r="646" customFormat="1" ht="15.95" customHeight="1" x14ac:dyDescent="0.25"/>
    <row r="647" customFormat="1" ht="15.95" customHeight="1" x14ac:dyDescent="0.25"/>
    <row r="648" customFormat="1" ht="15.95" customHeight="1" x14ac:dyDescent="0.25"/>
    <row r="649" customFormat="1" ht="15.95" customHeight="1" x14ac:dyDescent="0.25"/>
    <row r="650" customFormat="1" ht="15.95" customHeight="1" x14ac:dyDescent="0.25"/>
    <row r="651" customFormat="1" ht="15.95" customHeight="1" x14ac:dyDescent="0.25"/>
    <row r="652" customFormat="1" ht="15.95" customHeight="1" x14ac:dyDescent="0.25"/>
    <row r="653" customFormat="1" ht="15.95" customHeight="1" x14ac:dyDescent="0.25"/>
    <row r="654" customFormat="1" ht="15.95" customHeight="1" x14ac:dyDescent="0.25"/>
    <row r="655" customFormat="1" ht="15.95" customHeight="1" x14ac:dyDescent="0.25"/>
    <row r="656" customFormat="1" ht="15.95" customHeight="1" x14ac:dyDescent="0.25"/>
    <row r="657" customFormat="1" ht="15.95" customHeight="1" x14ac:dyDescent="0.25"/>
    <row r="658" customFormat="1" ht="15.95" customHeight="1" x14ac:dyDescent="0.25"/>
    <row r="659" customFormat="1" ht="15.95" customHeight="1" x14ac:dyDescent="0.25"/>
    <row r="660" customFormat="1" ht="15.95" customHeight="1" x14ac:dyDescent="0.25"/>
    <row r="661" customFormat="1" ht="15.95" customHeight="1" x14ac:dyDescent="0.25"/>
    <row r="662" customFormat="1" ht="15.95" customHeight="1" x14ac:dyDescent="0.25"/>
    <row r="663" customFormat="1" ht="15.95" customHeight="1" x14ac:dyDescent="0.25"/>
    <row r="664" customFormat="1" ht="15.95" customHeight="1" x14ac:dyDescent="0.25"/>
    <row r="665" customFormat="1" ht="15.95" customHeight="1" x14ac:dyDescent="0.25"/>
    <row r="666" customFormat="1" ht="15.95" customHeight="1" x14ac:dyDescent="0.25"/>
    <row r="667" customFormat="1" ht="15.95" customHeight="1" x14ac:dyDescent="0.25"/>
    <row r="668" customFormat="1" ht="15.95" customHeight="1" x14ac:dyDescent="0.25"/>
    <row r="669" customFormat="1" ht="15.95" customHeight="1" x14ac:dyDescent="0.25"/>
    <row r="670" customFormat="1" ht="15.95" customHeight="1" x14ac:dyDescent="0.25"/>
    <row r="671" customFormat="1" ht="15.95" customHeight="1" x14ac:dyDescent="0.25"/>
    <row r="672" customFormat="1" ht="15.95" customHeight="1" x14ac:dyDescent="0.25"/>
    <row r="673" customFormat="1" ht="15.95" customHeight="1" x14ac:dyDescent="0.25"/>
    <row r="674" customFormat="1" ht="15.95" customHeight="1" x14ac:dyDescent="0.25"/>
    <row r="675" customFormat="1" ht="15.95" customHeight="1" x14ac:dyDescent="0.25"/>
  </sheetData>
  <phoneticPr fontId="3" type="noConversion"/>
  <dataValidations count="1">
    <dataValidation type="list" allowBlank="1" showInputMessage="1" showErrorMessage="1" sqref="B2:B31" xr:uid="{4D601855-4870-4BF5-BCC1-776329708869}">
      <formula1>lista_materiales_name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A4ED-E4B9-486C-879D-B25A814C6640}">
  <sheetPr codeName="Sheet2">
    <tabColor rgb="FFFF5050"/>
  </sheetPr>
  <dimension ref="A1:BN143"/>
  <sheetViews>
    <sheetView showGridLines="0" zoomScaleNormal="100" workbookViewId="0">
      <selection activeCell="A10" sqref="A10"/>
    </sheetView>
  </sheetViews>
  <sheetFormatPr defaultColWidth="11.5703125" defaultRowHeight="15" x14ac:dyDescent="0.25"/>
  <cols>
    <col min="1" max="1" width="30" style="24" customWidth="1"/>
    <col min="2" max="2" width="14.140625" style="24" bestFit="1" customWidth="1"/>
    <col min="3" max="3" width="18.85546875" style="24" bestFit="1" customWidth="1"/>
    <col min="4" max="4" width="11.85546875" style="24" bestFit="1" customWidth="1"/>
    <col min="5" max="5" width="10" style="24" bestFit="1" customWidth="1"/>
    <col min="6" max="6" width="8.140625" style="24" bestFit="1" customWidth="1"/>
    <col min="7" max="7" width="11.5703125" style="24"/>
    <col min="8" max="8" width="28.42578125" style="13" customWidth="1"/>
    <col min="9" max="9" width="25.85546875" style="13" bestFit="1" customWidth="1"/>
    <col min="10" max="10" width="22" style="13" bestFit="1" customWidth="1"/>
    <col min="11" max="11" width="23.5703125" style="13" bestFit="1" customWidth="1"/>
    <col min="12" max="12" width="14.85546875" style="13" bestFit="1" customWidth="1"/>
    <col min="13" max="13" width="11.5703125" style="13"/>
    <col min="14" max="14" width="39.5703125" style="13" customWidth="1"/>
    <col min="15" max="15" width="19.42578125" style="13" customWidth="1"/>
    <col min="16" max="16" width="31.85546875" style="13" customWidth="1"/>
    <col min="17" max="17" width="18.42578125" style="13" customWidth="1"/>
    <col min="18" max="18" width="13" style="13" customWidth="1"/>
    <col min="19" max="66" width="11.5703125" style="13"/>
    <col min="67" max="16384" width="11.5703125" style="24"/>
  </cols>
  <sheetData>
    <row r="1" spans="1:12" ht="33" customHeight="1" x14ac:dyDescent="0.25">
      <c r="A1" s="329" t="s">
        <v>334</v>
      </c>
      <c r="B1" s="330"/>
      <c r="C1" s="330"/>
      <c r="D1" s="330"/>
      <c r="E1" s="330"/>
      <c r="F1" s="331"/>
      <c r="G1" s="13"/>
      <c r="H1" s="332" t="s">
        <v>335</v>
      </c>
      <c r="I1" s="333"/>
      <c r="J1" s="333"/>
      <c r="K1" s="333"/>
      <c r="L1" s="334"/>
    </row>
    <row r="2" spans="1:12" ht="15.75" thickBot="1" x14ac:dyDescent="0.3">
      <c r="A2" s="23"/>
      <c r="B2" s="260">
        <v>45167</v>
      </c>
      <c r="C2" s="261" t="s">
        <v>95</v>
      </c>
      <c r="D2" s="344" t="s">
        <v>96</v>
      </c>
      <c r="E2" s="345"/>
      <c r="F2" s="346"/>
      <c r="G2" s="13"/>
      <c r="H2" s="262" t="s">
        <v>454</v>
      </c>
      <c r="I2" s="263" t="e">
        <f>VLOOKUP($H$3,Soluciones_composicion!A$1:AG$29,2,FALSE)</f>
        <v>#N/A</v>
      </c>
      <c r="J2" s="335" t="s">
        <v>96</v>
      </c>
      <c r="K2" s="336"/>
      <c r="L2" s="337"/>
    </row>
    <row r="3" spans="1:12" ht="15.75" thickBot="1" x14ac:dyDescent="0.3">
      <c r="A3" s="259" t="s">
        <v>504</v>
      </c>
      <c r="B3" s="148" t="s">
        <v>97</v>
      </c>
      <c r="C3" s="135">
        <v>100</v>
      </c>
      <c r="D3" s="149" t="s">
        <v>98</v>
      </c>
      <c r="E3" s="150" t="s">
        <v>99</v>
      </c>
      <c r="F3" s="151" t="s">
        <v>100</v>
      </c>
      <c r="G3" s="13"/>
      <c r="H3" s="147" t="s">
        <v>423</v>
      </c>
      <c r="I3" s="155" t="s">
        <v>97</v>
      </c>
      <c r="J3" s="156" t="s">
        <v>98</v>
      </c>
      <c r="K3" s="157" t="s">
        <v>99</v>
      </c>
      <c r="L3" s="158" t="s">
        <v>100</v>
      </c>
    </row>
    <row r="4" spans="1:12" ht="32.25" customHeight="1" thickBot="1" x14ac:dyDescent="0.3">
      <c r="A4" s="308" t="s">
        <v>467</v>
      </c>
      <c r="B4" s="192">
        <f>(1-(SUM(B7:B12)))*D4</f>
        <v>0.69720000000000004</v>
      </c>
      <c r="C4" s="225">
        <f>B4*$C$3</f>
        <v>69.72</v>
      </c>
      <c r="D4" s="132">
        <v>0.8</v>
      </c>
      <c r="E4" s="347"/>
      <c r="F4" s="348"/>
      <c r="G4" s="13"/>
      <c r="H4" s="307" t="e">
        <f>VLOOKUP($H$3,Soluciones_composicion!A$1:AG$29,3,FALSE)</f>
        <v>#N/A</v>
      </c>
      <c r="I4" s="159" t="e">
        <f>VLOOKUP($H$3,Soluciones_composicion!A$1:AG$29,4,FALSE)</f>
        <v>#N/A</v>
      </c>
      <c r="J4" s="160" t="e">
        <f>VLOOKUP($H$3,Soluciones_composicion!A$1:AG$29,5,FALSE)</f>
        <v>#N/A</v>
      </c>
      <c r="K4" s="357"/>
      <c r="L4" s="358"/>
    </row>
    <row r="5" spans="1:12" ht="31.5" customHeight="1" thickBot="1" x14ac:dyDescent="0.3">
      <c r="A5" s="309" t="s">
        <v>315</v>
      </c>
      <c r="B5" s="193">
        <f>(1-(SUM(B7:B12)))*D5</f>
        <v>0.17430000000000001</v>
      </c>
      <c r="C5" s="226">
        <f t="shared" ref="C5:C12" si="0">B5*$C$3</f>
        <v>17.43</v>
      </c>
      <c r="D5" s="133">
        <v>0.2</v>
      </c>
      <c r="E5" s="349"/>
      <c r="F5" s="350"/>
      <c r="G5" s="13"/>
      <c r="H5" s="310" t="e">
        <f>VLOOKUP($H$3,Soluciones_composicion!A$1:AG$29,6,FALSE)</f>
        <v>#N/A</v>
      </c>
      <c r="I5" s="161" t="e">
        <f>VLOOKUP($H$3,Soluciones_composicion!A$1:AG$29,7,FALSE)</f>
        <v>#N/A</v>
      </c>
      <c r="J5" s="160" t="e">
        <f>VLOOKUP($H$3,Soluciones_composicion!A$1:AG$29,8,FALSE)</f>
        <v>#N/A</v>
      </c>
      <c r="K5" s="359"/>
      <c r="L5" s="360"/>
    </row>
    <row r="6" spans="1:12" ht="15.75" thickBot="1" x14ac:dyDescent="0.3">
      <c r="A6" s="136"/>
      <c r="B6" s="194">
        <f>(1-(SUM(B7:B12)))*D6</f>
        <v>0</v>
      </c>
      <c r="C6" s="227">
        <f t="shared" si="0"/>
        <v>0</v>
      </c>
      <c r="D6" s="134"/>
      <c r="E6" s="351"/>
      <c r="F6" s="352"/>
      <c r="G6" s="13"/>
      <c r="H6" s="142" t="e">
        <f>VLOOKUP($H$3,Soluciones_composicion!A$1:AG$29,9,FALSE)</f>
        <v>#N/A</v>
      </c>
      <c r="I6" s="162" t="e">
        <f>VLOOKUP($H$3,Soluciones_composicion!A$1:AG$29,10,FALSE)</f>
        <v>#N/A</v>
      </c>
      <c r="J6" s="160" t="e">
        <f>VLOOKUP($H$3,Soluciones_composicion!A$1:AG$29,11,FALSE)</f>
        <v>#N/A</v>
      </c>
      <c r="K6" s="361"/>
      <c r="L6" s="362"/>
    </row>
    <row r="7" spans="1:12" x14ac:dyDescent="0.25">
      <c r="A7" s="15" t="s">
        <v>473</v>
      </c>
      <c r="B7" s="195">
        <v>0.09</v>
      </c>
      <c r="C7" s="228">
        <f t="shared" si="0"/>
        <v>9</v>
      </c>
      <c r="D7" s="210"/>
      <c r="E7" s="222">
        <f>B7/(B9+B8+B7)</f>
        <v>0.8</v>
      </c>
      <c r="F7" s="219">
        <f>B7/(SUM(B7:B12))</f>
        <v>0.70038910505836571</v>
      </c>
      <c r="G7" s="13"/>
      <c r="H7" s="141" t="e">
        <f>VLOOKUP($H$3,Soluciones_composicion!A$1:AG$29,12,FALSE)</f>
        <v>#N/A</v>
      </c>
      <c r="I7" s="159" t="e">
        <f>VLOOKUP($H$3,Soluciones_composicion!A$1:AG$29,13,FALSE)</f>
        <v>#N/A</v>
      </c>
      <c r="J7" s="369"/>
      <c r="K7" s="163" t="e">
        <f>I7/(I9+I8+I7)</f>
        <v>#N/A</v>
      </c>
      <c r="L7" s="164" t="e">
        <f>I7/(SUM(I7:I12))</f>
        <v>#N/A</v>
      </c>
    </row>
    <row r="8" spans="1:12" x14ac:dyDescent="0.25">
      <c r="A8" s="15" t="s">
        <v>471</v>
      </c>
      <c r="B8" s="196">
        <v>2.2499999999999999E-2</v>
      </c>
      <c r="C8" s="229">
        <f t="shared" si="0"/>
        <v>2.25</v>
      </c>
      <c r="D8" s="211"/>
      <c r="E8" s="223">
        <f>B8/(B9+B8+B7)</f>
        <v>0.2</v>
      </c>
      <c r="F8" s="219">
        <f>B8/(SUM(B7:B12))</f>
        <v>0.17509727626459143</v>
      </c>
      <c r="G8" s="13"/>
      <c r="H8" s="138" t="e">
        <f>VLOOKUP($H$3,Soluciones_composicion!A$1:AG$29,16,FALSE)</f>
        <v>#N/A</v>
      </c>
      <c r="I8" s="161" t="e">
        <f>VLOOKUP($H$3,Soluciones_composicion!A$1:AG$29,17,FALSE)</f>
        <v>#N/A</v>
      </c>
      <c r="J8" s="370"/>
      <c r="K8" s="165" t="e">
        <f>I8/(I9+I8+I7)</f>
        <v>#N/A</v>
      </c>
      <c r="L8" s="166" t="e">
        <f>I8/(SUM(I7:I12))</f>
        <v>#N/A</v>
      </c>
    </row>
    <row r="9" spans="1:12" ht="15.75" thickBot="1" x14ac:dyDescent="0.3">
      <c r="A9" s="16"/>
      <c r="B9" s="197"/>
      <c r="C9" s="230">
        <f t="shared" si="0"/>
        <v>0</v>
      </c>
      <c r="D9" s="212"/>
      <c r="E9" s="224">
        <f>B9/(B9+B8+B7)</f>
        <v>0</v>
      </c>
      <c r="F9" s="220">
        <f>B9/(SUM(B7:B12))</f>
        <v>0</v>
      </c>
      <c r="G9" s="13"/>
      <c r="H9" s="140" t="e">
        <f>VLOOKUP($H$3,Soluciones_composicion!A$1:AG$29,20,FALSE)</f>
        <v>#N/A</v>
      </c>
      <c r="I9" s="162" t="e">
        <f>VLOOKUP($H$3,Soluciones_composicion!A$1:AG$29,21,FALSE)</f>
        <v>#N/A</v>
      </c>
      <c r="J9" s="371"/>
      <c r="K9" s="167" t="e">
        <f>I9/(I9+I8+I7)</f>
        <v>#N/A</v>
      </c>
      <c r="L9" s="168" t="e">
        <f>I9/(SUM(I7:I12))</f>
        <v>#N/A</v>
      </c>
    </row>
    <row r="10" spans="1:12" x14ac:dyDescent="0.25">
      <c r="A10" s="14"/>
      <c r="B10" s="198"/>
      <c r="C10" s="231">
        <f t="shared" si="0"/>
        <v>0</v>
      </c>
      <c r="D10" s="353"/>
      <c r="E10" s="354"/>
      <c r="F10" s="219">
        <f>B10/(SUM(B7:B12))</f>
        <v>0</v>
      </c>
      <c r="G10" s="13"/>
      <c r="H10" s="139" t="e">
        <f>VLOOKUP($H$3,Soluciones_composicion!A$1:AG$29,24,FALSE)</f>
        <v>#N/A</v>
      </c>
      <c r="I10" s="169" t="e">
        <f>VLOOKUP($H$3,Soluciones_composicion!A$1:AG$29,25,FALSE)</f>
        <v>#N/A</v>
      </c>
      <c r="J10" s="170"/>
      <c r="K10" s="171"/>
      <c r="L10" s="166" t="e">
        <f>I10/(SUM(I7:I12))</f>
        <v>#N/A</v>
      </c>
    </row>
    <row r="11" spans="1:12" x14ac:dyDescent="0.25">
      <c r="A11" s="17" t="s">
        <v>318</v>
      </c>
      <c r="B11" s="199">
        <v>1.6E-2</v>
      </c>
      <c r="C11" s="229">
        <f t="shared" si="0"/>
        <v>1.6</v>
      </c>
      <c r="D11" s="353"/>
      <c r="E11" s="354"/>
      <c r="F11" s="219">
        <f>B11/(SUM(B7:B12))</f>
        <v>0.1245136186770428</v>
      </c>
      <c r="G11" s="13"/>
      <c r="H11" s="138" t="e">
        <f>VLOOKUP($H$3,Soluciones_composicion!A$1:AG$29,27,FALSE)</f>
        <v>#N/A</v>
      </c>
      <c r="I11" s="161" t="e">
        <f>VLOOKUP($H$3,Soluciones_composicion!A$1:AG$29,28,FALSE)</f>
        <v>#N/A</v>
      </c>
      <c r="J11" s="170"/>
      <c r="K11" s="172"/>
      <c r="L11" s="166" t="e">
        <f>I11/(SUM(I7:I12))</f>
        <v>#N/A</v>
      </c>
    </row>
    <row r="12" spans="1:12" ht="15.75" thickBot="1" x14ac:dyDescent="0.3">
      <c r="A12" s="18"/>
      <c r="B12" s="200"/>
      <c r="C12" s="230">
        <f t="shared" si="0"/>
        <v>0</v>
      </c>
      <c r="D12" s="355"/>
      <c r="E12" s="356"/>
      <c r="F12" s="221">
        <f>B12/(SUM(B7:B12))</f>
        <v>0</v>
      </c>
      <c r="G12" s="13"/>
      <c r="H12" s="137" t="e">
        <f>VLOOKUP($H$3,Soluciones_composicion!A$1:AG$29,30,FALSE)</f>
        <v>#N/A</v>
      </c>
      <c r="I12" s="173" t="e">
        <f>VLOOKUP($H$3,Soluciones_composicion!A$1:AG$29,31,FALSE)</f>
        <v>#N/A</v>
      </c>
      <c r="J12" s="174"/>
      <c r="K12" s="175"/>
      <c r="L12" s="176" t="e">
        <f>I12/(SUM(I7:I12))</f>
        <v>#N/A</v>
      </c>
    </row>
    <row r="13" spans="1:12" ht="16.5" thickTop="1" thickBot="1" x14ac:dyDescent="0.3">
      <c r="A13" s="152" t="s">
        <v>102</v>
      </c>
      <c r="B13" s="153">
        <f>SUM(B4:B12)</f>
        <v>1</v>
      </c>
      <c r="C13" s="154">
        <f>SUM(C4:C12)</f>
        <v>100</v>
      </c>
      <c r="D13" s="232">
        <f>SUM(B4:B6)/B13</f>
        <v>0.87150000000000005</v>
      </c>
      <c r="E13" s="232">
        <f>SUM(B7:B9)/B13</f>
        <v>0.11249999999999999</v>
      </c>
      <c r="F13" s="233">
        <f>(SUM(B7:B12))/B13</f>
        <v>0.1285</v>
      </c>
      <c r="G13" s="13"/>
      <c r="H13" s="177" t="s">
        <v>102</v>
      </c>
      <c r="I13" s="178" t="e">
        <f>SUM(I4:I12)</f>
        <v>#N/A</v>
      </c>
      <c r="J13" s="179" t="e">
        <f>SUM(I4:I6)/I13</f>
        <v>#N/A</v>
      </c>
      <c r="K13" s="179" t="e">
        <f>SUM(I7:I9)/I13</f>
        <v>#N/A</v>
      </c>
      <c r="L13" s="180" t="e">
        <f>(SUM(I7:I12))/I13</f>
        <v>#N/A</v>
      </c>
    </row>
    <row r="14" spans="1:12" x14ac:dyDescent="0.25">
      <c r="A14" s="189" t="s">
        <v>103</v>
      </c>
      <c r="B14" s="338"/>
      <c r="C14" s="338"/>
      <c r="D14" s="338"/>
      <c r="E14" s="338"/>
      <c r="F14" s="339"/>
      <c r="G14" s="13"/>
      <c r="H14" s="181" t="s">
        <v>103</v>
      </c>
      <c r="I14" s="363" t="e">
        <f>VLOOKUP($H$3,Soluciones_composicion!A$1:AG$29,33,FALSE)</f>
        <v>#N/A</v>
      </c>
      <c r="J14" s="363"/>
      <c r="K14" s="363"/>
      <c r="L14" s="364"/>
    </row>
    <row r="15" spans="1:12" x14ac:dyDescent="0.25">
      <c r="A15" s="190"/>
      <c r="B15" s="340"/>
      <c r="C15" s="340"/>
      <c r="D15" s="340"/>
      <c r="E15" s="340"/>
      <c r="F15" s="341"/>
      <c r="G15" s="13"/>
      <c r="H15" s="182"/>
      <c r="I15" s="365"/>
      <c r="J15" s="365"/>
      <c r="K15" s="365"/>
      <c r="L15" s="366"/>
    </row>
    <row r="16" spans="1:12" x14ac:dyDescent="0.25">
      <c r="A16" s="190"/>
      <c r="B16" s="340"/>
      <c r="C16" s="340"/>
      <c r="D16" s="340"/>
      <c r="E16" s="340"/>
      <c r="F16" s="341"/>
      <c r="G16" s="13"/>
      <c r="H16" s="182"/>
      <c r="I16" s="365"/>
      <c r="J16" s="365"/>
      <c r="K16" s="365"/>
      <c r="L16" s="366"/>
    </row>
    <row r="17" spans="1:13" ht="15.75" thickBot="1" x14ac:dyDescent="0.3">
      <c r="A17" s="191"/>
      <c r="B17" s="342"/>
      <c r="C17" s="342"/>
      <c r="D17" s="342"/>
      <c r="E17" s="342"/>
      <c r="F17" s="343"/>
      <c r="G17" s="13"/>
      <c r="H17" s="183"/>
      <c r="I17" s="367"/>
      <c r="J17" s="367"/>
      <c r="K17" s="367"/>
      <c r="L17" s="368"/>
    </row>
    <row r="18" spans="1:13" ht="25.9" customHeight="1" thickBot="1" x14ac:dyDescent="0.3">
      <c r="A18" s="13"/>
      <c r="B18" s="13"/>
      <c r="C18" s="13"/>
      <c r="D18" s="13"/>
      <c r="E18" s="13"/>
      <c r="F18" s="13"/>
      <c r="G18" s="13"/>
      <c r="H18" s="213" t="s">
        <v>104</v>
      </c>
      <c r="I18" s="214" t="s">
        <v>105</v>
      </c>
      <c r="J18" s="215" t="s">
        <v>106</v>
      </c>
      <c r="K18" s="214" t="s">
        <v>107</v>
      </c>
      <c r="L18" s="215" t="s">
        <v>108</v>
      </c>
      <c r="M18" s="214" t="s">
        <v>109</v>
      </c>
    </row>
    <row r="19" spans="1:13" ht="15.75" thickBot="1" x14ac:dyDescent="0.3">
      <c r="A19" s="13"/>
      <c r="B19" s="13"/>
      <c r="C19" s="13"/>
      <c r="D19" s="13"/>
      <c r="E19" s="13"/>
      <c r="F19" s="13"/>
      <c r="G19" s="13"/>
      <c r="H19" s="216" t="e">
        <f>VLOOKUP($H$3,Soluciones_propiedades!A$1:AN$34,3,FALSE)</f>
        <v>#N/A</v>
      </c>
      <c r="I19" s="217" t="e">
        <f>VLOOKUP($H$3,Soluciones_propiedades!A$1:AN$34,4,FALSE)</f>
        <v>#N/A</v>
      </c>
      <c r="J19" s="218" t="e">
        <f>VLOOKUP($H$3,Soluciones_propiedades!A$1:AN$34,5,FALSE)</f>
        <v>#N/A</v>
      </c>
      <c r="K19" s="217" t="e">
        <f>VLOOKUP($H$3,Soluciones_propiedades!A$1:AN$34,6,FALSE)</f>
        <v>#N/A</v>
      </c>
      <c r="L19" s="218" t="e">
        <f>VLOOKUP($H$3,Soluciones_propiedades!A$1:AN$34,7,FALSE)</f>
        <v>#N/A</v>
      </c>
      <c r="M19" s="217" t="e">
        <f>VLOOKUP($H$3,Soluciones_propiedades!A$1:AN$34,8,FALSE)</f>
        <v>#N/A</v>
      </c>
    </row>
    <row r="20" spans="1:13" x14ac:dyDescent="0.25">
      <c r="A20" s="13"/>
      <c r="B20" s="13"/>
      <c r="C20" s="13"/>
      <c r="D20" s="13"/>
      <c r="E20" s="13"/>
      <c r="F20" s="13"/>
      <c r="G20" s="13"/>
    </row>
    <row r="21" spans="1:13" x14ac:dyDescent="0.25">
      <c r="A21" s="13"/>
      <c r="B21" s="13"/>
      <c r="C21" s="13"/>
      <c r="D21" s="13"/>
      <c r="E21" s="13"/>
      <c r="F21" s="13"/>
      <c r="G21" s="13"/>
    </row>
    <row r="22" spans="1:13" x14ac:dyDescent="0.25">
      <c r="A22" s="13"/>
      <c r="B22" s="13"/>
      <c r="C22" s="13"/>
      <c r="D22" s="13"/>
      <c r="E22" s="13"/>
      <c r="F22" s="13"/>
      <c r="G22" s="13"/>
    </row>
    <row r="23" spans="1:13" x14ac:dyDescent="0.25">
      <c r="A23" s="13"/>
      <c r="B23" s="13"/>
      <c r="C23" s="13"/>
      <c r="D23" s="13"/>
      <c r="E23" s="13"/>
      <c r="F23" s="13"/>
      <c r="G23" s="13"/>
    </row>
    <row r="24" spans="1:13" x14ac:dyDescent="0.25">
      <c r="A24" s="13"/>
      <c r="B24" s="13"/>
      <c r="C24" s="13"/>
      <c r="D24" s="13"/>
      <c r="E24" s="13"/>
      <c r="F24" s="13"/>
      <c r="G24" s="13"/>
    </row>
    <row r="25" spans="1:13" x14ac:dyDescent="0.25">
      <c r="A25" s="13"/>
      <c r="B25" s="13"/>
      <c r="C25" s="13"/>
      <c r="D25" s="13"/>
      <c r="E25" s="13"/>
      <c r="F25" s="13"/>
      <c r="G25" s="13"/>
    </row>
    <row r="26" spans="1:13" x14ac:dyDescent="0.25">
      <c r="A26" s="13"/>
      <c r="B26" s="13"/>
      <c r="C26" s="13"/>
      <c r="D26" s="13"/>
      <c r="E26" s="13"/>
      <c r="F26" s="13"/>
      <c r="G26" s="13"/>
    </row>
    <row r="27" spans="1:13" x14ac:dyDescent="0.25">
      <c r="A27" s="13"/>
      <c r="B27" s="13"/>
      <c r="C27" s="13"/>
      <c r="D27" s="13"/>
      <c r="E27" s="13"/>
      <c r="F27" s="13"/>
      <c r="G27" s="13"/>
    </row>
    <row r="28" spans="1:13" x14ac:dyDescent="0.25">
      <c r="A28" s="13"/>
      <c r="B28" s="13"/>
      <c r="C28" s="13"/>
      <c r="D28" s="13"/>
      <c r="E28" s="13"/>
      <c r="F28" s="13"/>
      <c r="G28" s="13"/>
    </row>
    <row r="29" spans="1:13" x14ac:dyDescent="0.25">
      <c r="A29" s="13"/>
      <c r="B29" s="13"/>
      <c r="C29" s="13"/>
      <c r="D29" s="13"/>
      <c r="E29" s="13"/>
      <c r="F29" s="13"/>
      <c r="G29" s="13"/>
    </row>
    <row r="30" spans="1:13" x14ac:dyDescent="0.25">
      <c r="A30" s="13"/>
      <c r="B30" s="13"/>
      <c r="C30" s="13"/>
      <c r="D30" s="13"/>
      <c r="E30" s="13"/>
      <c r="F30" s="13"/>
      <c r="G30" s="13"/>
    </row>
    <row r="31" spans="1:13" ht="14.45" customHeight="1" x14ac:dyDescent="0.25">
      <c r="A31" s="13"/>
      <c r="B31" s="13"/>
      <c r="C31" s="13"/>
      <c r="D31" s="13"/>
      <c r="E31" s="13"/>
      <c r="F31" s="13"/>
      <c r="G31" s="13"/>
    </row>
    <row r="32" spans="1:13" ht="14.45" customHeight="1" x14ac:dyDescent="0.25">
      <c r="A32" s="13"/>
      <c r="B32" s="13"/>
      <c r="C32" s="13"/>
      <c r="D32" s="13"/>
      <c r="E32" s="13"/>
      <c r="F32" s="13"/>
      <c r="G32" s="13"/>
    </row>
    <row r="33" spans="1:7" ht="14.45" customHeight="1" x14ac:dyDescent="0.25">
      <c r="A33" s="13"/>
      <c r="B33" s="13"/>
      <c r="C33" s="13"/>
      <c r="D33" s="13"/>
      <c r="E33" s="13"/>
      <c r="F33" s="13"/>
      <c r="G33" s="13"/>
    </row>
    <row r="34" spans="1:7" ht="14.45" customHeight="1" x14ac:dyDescent="0.25">
      <c r="A34" s="13"/>
      <c r="B34" s="13"/>
      <c r="C34" s="13"/>
      <c r="D34" s="13"/>
      <c r="E34" s="13"/>
      <c r="F34" s="13"/>
      <c r="G34" s="13"/>
    </row>
    <row r="35" spans="1:7" ht="15" customHeight="1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13"/>
      <c r="B36" s="13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x14ac:dyDescent="0.25">
      <c r="A38" s="13"/>
      <c r="B38" s="13"/>
      <c r="C38" s="13"/>
      <c r="D38" s="13"/>
      <c r="E38" s="13"/>
      <c r="F38" s="13"/>
      <c r="G38" s="13"/>
    </row>
    <row r="39" spans="1:7" x14ac:dyDescent="0.25">
      <c r="A39" s="13"/>
      <c r="B39" s="13"/>
      <c r="C39" s="13"/>
      <c r="D39" s="13"/>
      <c r="E39" s="13"/>
      <c r="F39" s="13"/>
      <c r="G39" s="13"/>
    </row>
    <row r="40" spans="1:7" x14ac:dyDescent="0.25">
      <c r="A40" s="13"/>
      <c r="B40" s="13"/>
      <c r="C40" s="13"/>
      <c r="D40" s="13"/>
      <c r="E40" s="13"/>
      <c r="F40" s="13"/>
      <c r="G40" s="13"/>
    </row>
    <row r="41" spans="1:7" x14ac:dyDescent="0.25">
      <c r="A41" s="13"/>
      <c r="B41" s="13"/>
      <c r="C41" s="13"/>
      <c r="D41" s="13"/>
      <c r="E41" s="13"/>
      <c r="F41" s="13"/>
      <c r="G41" s="13"/>
    </row>
    <row r="42" spans="1:7" x14ac:dyDescent="0.25">
      <c r="A42" s="13"/>
      <c r="B42" s="13"/>
      <c r="C42" s="13"/>
      <c r="D42" s="13"/>
      <c r="E42" s="13"/>
      <c r="F42" s="13"/>
      <c r="G42" s="13"/>
    </row>
    <row r="43" spans="1:7" x14ac:dyDescent="0.25">
      <c r="A43" s="13"/>
      <c r="B43" s="13"/>
      <c r="C43" s="13"/>
      <c r="D43" s="13"/>
      <c r="E43" s="13"/>
      <c r="F43" s="13"/>
      <c r="G43" s="13"/>
    </row>
    <row r="44" spans="1:7" ht="15.6" customHeight="1" x14ac:dyDescent="0.25">
      <c r="A44" s="13"/>
      <c r="B44" s="13"/>
      <c r="C44" s="13"/>
      <c r="D44" s="13"/>
      <c r="E44" s="13"/>
      <c r="F44" s="13"/>
      <c r="G44" s="13"/>
    </row>
    <row r="45" spans="1:7" ht="14.45" customHeight="1" x14ac:dyDescent="0.25">
      <c r="A45" s="13"/>
      <c r="B45" s="13"/>
      <c r="C45" s="13"/>
      <c r="D45" s="13"/>
      <c r="E45" s="13"/>
      <c r="F45" s="13"/>
      <c r="G45" s="13"/>
    </row>
    <row r="46" spans="1:7" ht="14.45" customHeight="1" x14ac:dyDescent="0.25">
      <c r="A46" s="13"/>
      <c r="B46" s="13"/>
      <c r="C46" s="13"/>
      <c r="D46" s="13"/>
      <c r="E46" s="13"/>
      <c r="F46" s="13"/>
      <c r="G46" s="13"/>
    </row>
    <row r="47" spans="1:7" ht="14.45" customHeight="1" x14ac:dyDescent="0.25">
      <c r="A47" s="13"/>
      <c r="B47" s="13"/>
      <c r="C47" s="13"/>
      <c r="D47" s="13"/>
      <c r="E47" s="13"/>
      <c r="F47" s="13"/>
      <c r="G47" s="13"/>
    </row>
    <row r="48" spans="1:7" ht="15" customHeight="1" x14ac:dyDescent="0.25">
      <c r="A48" s="13"/>
      <c r="B48" s="13"/>
      <c r="C48" s="13"/>
      <c r="D48" s="13"/>
      <c r="E48" s="13"/>
      <c r="F48" s="13"/>
      <c r="G48" s="13"/>
    </row>
    <row r="49" spans="1:7" x14ac:dyDescent="0.25">
      <c r="A49" s="13"/>
      <c r="B49" s="13"/>
      <c r="C49" s="13"/>
      <c r="D49" s="13"/>
      <c r="E49" s="13"/>
      <c r="F49" s="13"/>
      <c r="G49" s="13"/>
    </row>
    <row r="50" spans="1:7" x14ac:dyDescent="0.25">
      <c r="A50" s="13"/>
      <c r="B50" s="13"/>
      <c r="C50" s="13"/>
      <c r="D50" s="13"/>
      <c r="E50" s="13"/>
      <c r="F50" s="13"/>
      <c r="G50" s="13"/>
    </row>
    <row r="51" spans="1:7" x14ac:dyDescent="0.25">
      <c r="A51" s="13"/>
      <c r="B51" s="13"/>
      <c r="C51" s="13"/>
      <c r="D51" s="13"/>
      <c r="E51" s="13"/>
      <c r="F51" s="13"/>
      <c r="G51" s="13"/>
    </row>
    <row r="52" spans="1:7" x14ac:dyDescent="0.25">
      <c r="A52" s="13"/>
      <c r="B52" s="13"/>
      <c r="C52" s="13"/>
      <c r="D52" s="13"/>
      <c r="E52" s="13"/>
      <c r="F52" s="13"/>
      <c r="G52" s="13"/>
    </row>
    <row r="53" spans="1:7" x14ac:dyDescent="0.25">
      <c r="A53" s="13"/>
      <c r="B53" s="13"/>
      <c r="C53" s="13"/>
      <c r="D53" s="13"/>
      <c r="E53" s="13"/>
      <c r="F53" s="13"/>
      <c r="G53" s="13"/>
    </row>
    <row r="54" spans="1:7" x14ac:dyDescent="0.25">
      <c r="A54" s="13"/>
      <c r="B54" s="13"/>
      <c r="C54" s="13"/>
      <c r="D54" s="13"/>
      <c r="E54" s="13"/>
      <c r="F54" s="13"/>
      <c r="G54" s="13"/>
    </row>
    <row r="55" spans="1:7" x14ac:dyDescent="0.25">
      <c r="A55" s="13"/>
      <c r="B55" s="13"/>
      <c r="C55" s="13"/>
      <c r="D55" s="13"/>
      <c r="E55" s="13"/>
      <c r="F55" s="13"/>
      <c r="G55" s="13"/>
    </row>
    <row r="56" spans="1:7" x14ac:dyDescent="0.25">
      <c r="A56" s="13"/>
      <c r="B56" s="13"/>
      <c r="C56" s="13"/>
      <c r="D56" s="13"/>
      <c r="E56" s="13"/>
      <c r="F56" s="13"/>
      <c r="G56" s="13"/>
    </row>
    <row r="57" spans="1:7" x14ac:dyDescent="0.25">
      <c r="A57" s="13"/>
      <c r="B57" s="13"/>
      <c r="C57" s="13"/>
      <c r="D57" s="13"/>
      <c r="E57" s="13"/>
      <c r="F57" s="13"/>
      <c r="G57" s="13"/>
    </row>
    <row r="58" spans="1:7" x14ac:dyDescent="0.25">
      <c r="A58" s="13"/>
      <c r="B58" s="13"/>
      <c r="C58" s="13"/>
      <c r="D58" s="13"/>
      <c r="E58" s="13"/>
      <c r="F58" s="13"/>
      <c r="G58" s="13"/>
    </row>
    <row r="59" spans="1:7" x14ac:dyDescent="0.25">
      <c r="A59" s="13"/>
      <c r="B59" s="13"/>
      <c r="C59" s="13"/>
      <c r="D59" s="13"/>
      <c r="E59" s="13"/>
      <c r="F59" s="13"/>
      <c r="G59" s="13"/>
    </row>
    <row r="60" spans="1:7" x14ac:dyDescent="0.25">
      <c r="A60" s="13"/>
      <c r="B60" s="13"/>
      <c r="C60" s="13"/>
      <c r="D60" s="13"/>
      <c r="E60" s="13"/>
      <c r="F60" s="13"/>
      <c r="G60" s="13"/>
    </row>
    <row r="61" spans="1:7" x14ac:dyDescent="0.25">
      <c r="A61" s="13"/>
      <c r="B61" s="13"/>
      <c r="C61" s="13"/>
      <c r="D61" s="13"/>
      <c r="E61" s="13"/>
      <c r="F61" s="13"/>
      <c r="G61" s="13"/>
    </row>
    <row r="62" spans="1:7" x14ac:dyDescent="0.25">
      <c r="A62" s="13"/>
      <c r="B62" s="13"/>
      <c r="C62" s="13"/>
      <c r="D62" s="13"/>
      <c r="E62" s="13"/>
      <c r="F62" s="13"/>
      <c r="G62" s="13"/>
    </row>
    <row r="63" spans="1:7" x14ac:dyDescent="0.25">
      <c r="A63" s="13"/>
      <c r="B63" s="13"/>
      <c r="C63" s="13"/>
      <c r="D63" s="13"/>
      <c r="E63" s="13"/>
      <c r="F63" s="13"/>
      <c r="G63" s="13"/>
    </row>
    <row r="64" spans="1:7" x14ac:dyDescent="0.25">
      <c r="A64" s="13"/>
      <c r="B64" s="13"/>
      <c r="C64" s="13"/>
      <c r="D64" s="13"/>
      <c r="E64" s="13"/>
      <c r="F64" s="13"/>
      <c r="G64" s="13"/>
    </row>
    <row r="65" spans="1:7" x14ac:dyDescent="0.25">
      <c r="A65" s="13"/>
      <c r="B65" s="13"/>
      <c r="C65" s="13"/>
      <c r="D65" s="13"/>
      <c r="E65" s="13"/>
      <c r="F65" s="13"/>
      <c r="G65" s="13"/>
    </row>
    <row r="66" spans="1:7" x14ac:dyDescent="0.25">
      <c r="A66" s="13"/>
      <c r="B66" s="13"/>
      <c r="C66" s="13"/>
      <c r="D66" s="13"/>
      <c r="E66" s="13"/>
      <c r="F66" s="13"/>
      <c r="G66" s="13"/>
    </row>
    <row r="67" spans="1:7" x14ac:dyDescent="0.25">
      <c r="A67" s="13"/>
      <c r="B67" s="13"/>
      <c r="C67" s="13"/>
      <c r="D67" s="13"/>
      <c r="E67" s="13"/>
      <c r="F67" s="13"/>
      <c r="G67" s="13"/>
    </row>
    <row r="68" spans="1:7" x14ac:dyDescent="0.25">
      <c r="A68" s="13"/>
      <c r="B68" s="13"/>
      <c r="C68" s="13"/>
      <c r="D68" s="13"/>
      <c r="E68" s="13"/>
      <c r="F68" s="13"/>
      <c r="G68" s="13"/>
    </row>
    <row r="69" spans="1:7" x14ac:dyDescent="0.25">
      <c r="A69" s="13"/>
      <c r="B69" s="13"/>
      <c r="C69" s="13"/>
      <c r="D69" s="13"/>
      <c r="E69" s="13"/>
      <c r="F69" s="13"/>
      <c r="G69" s="13"/>
    </row>
    <row r="70" spans="1:7" x14ac:dyDescent="0.25">
      <c r="A70" s="13"/>
      <c r="B70" s="13"/>
      <c r="C70" s="13"/>
      <c r="D70" s="13"/>
      <c r="E70" s="13"/>
      <c r="F70" s="13"/>
      <c r="G70" s="13"/>
    </row>
    <row r="71" spans="1:7" x14ac:dyDescent="0.25">
      <c r="A71" s="13"/>
      <c r="B71" s="13"/>
      <c r="C71" s="13"/>
      <c r="D71" s="13"/>
      <c r="E71" s="13"/>
      <c r="F71" s="13"/>
      <c r="G71" s="13"/>
    </row>
    <row r="72" spans="1:7" x14ac:dyDescent="0.25">
      <c r="A72" s="13"/>
      <c r="B72" s="13"/>
      <c r="C72" s="13"/>
      <c r="D72" s="13"/>
      <c r="E72" s="13"/>
      <c r="F72" s="13"/>
      <c r="G72" s="13"/>
    </row>
    <row r="73" spans="1:7" x14ac:dyDescent="0.25">
      <c r="A73" s="13"/>
      <c r="B73" s="13"/>
      <c r="C73" s="13"/>
      <c r="D73" s="13"/>
      <c r="E73" s="13"/>
      <c r="F73" s="13"/>
      <c r="G73" s="13"/>
    </row>
    <row r="74" spans="1:7" x14ac:dyDescent="0.25">
      <c r="A74" s="13"/>
      <c r="B74" s="13"/>
      <c r="C74" s="13"/>
      <c r="D74" s="13"/>
      <c r="E74" s="13"/>
      <c r="F74" s="13"/>
      <c r="G74" s="13"/>
    </row>
    <row r="75" spans="1:7" x14ac:dyDescent="0.25">
      <c r="A75" s="13"/>
      <c r="B75" s="13"/>
      <c r="C75" s="13"/>
      <c r="D75" s="13"/>
      <c r="E75" s="13"/>
      <c r="F75" s="13"/>
      <c r="G75" s="13"/>
    </row>
    <row r="76" spans="1:7" x14ac:dyDescent="0.25">
      <c r="A76" s="13"/>
      <c r="B76" s="13"/>
      <c r="C76" s="13"/>
      <c r="D76" s="13"/>
      <c r="E76" s="13"/>
      <c r="F76" s="13"/>
      <c r="G76" s="13"/>
    </row>
    <row r="77" spans="1:7" x14ac:dyDescent="0.25">
      <c r="A77" s="13"/>
      <c r="B77" s="13"/>
      <c r="C77" s="13"/>
      <c r="D77" s="13"/>
      <c r="E77" s="13"/>
      <c r="F77" s="13"/>
      <c r="G77" s="13"/>
    </row>
    <row r="78" spans="1:7" x14ac:dyDescent="0.25">
      <c r="A78" s="13"/>
      <c r="B78" s="13"/>
      <c r="C78" s="13"/>
      <c r="D78" s="13"/>
      <c r="E78" s="13"/>
      <c r="F78" s="13"/>
      <c r="G78" s="13"/>
    </row>
    <row r="79" spans="1:7" x14ac:dyDescent="0.25">
      <c r="A79" s="13"/>
      <c r="B79" s="13"/>
      <c r="C79" s="13"/>
      <c r="D79" s="13"/>
      <c r="E79" s="13"/>
      <c r="F79" s="13"/>
      <c r="G79" s="13"/>
    </row>
    <row r="80" spans="1:7" x14ac:dyDescent="0.25">
      <c r="A80" s="13"/>
      <c r="B80" s="13"/>
      <c r="C80" s="13"/>
      <c r="D80" s="13"/>
      <c r="E80" s="13"/>
      <c r="F80" s="13"/>
      <c r="G80" s="13"/>
    </row>
    <row r="81" spans="1:7" x14ac:dyDescent="0.25">
      <c r="A81" s="13"/>
      <c r="B81" s="13"/>
      <c r="C81" s="13"/>
      <c r="D81" s="13"/>
      <c r="E81" s="13"/>
      <c r="F81" s="13"/>
      <c r="G81" s="13"/>
    </row>
    <row r="82" spans="1:7" x14ac:dyDescent="0.25">
      <c r="A82" s="13"/>
      <c r="B82" s="13"/>
      <c r="C82" s="13"/>
      <c r="D82" s="13"/>
      <c r="E82" s="13"/>
      <c r="F82" s="13"/>
      <c r="G82" s="13"/>
    </row>
    <row r="83" spans="1:7" x14ac:dyDescent="0.25">
      <c r="A83" s="13"/>
      <c r="B83" s="13"/>
      <c r="C83" s="13"/>
      <c r="D83" s="13"/>
      <c r="E83" s="13"/>
      <c r="F83" s="13"/>
      <c r="G83" s="13"/>
    </row>
    <row r="84" spans="1:7" x14ac:dyDescent="0.25">
      <c r="A84" s="13"/>
      <c r="B84" s="13"/>
      <c r="C84" s="13"/>
      <c r="D84" s="13"/>
      <c r="E84" s="13"/>
      <c r="F84" s="13"/>
      <c r="G84" s="13"/>
    </row>
    <row r="85" spans="1:7" x14ac:dyDescent="0.25">
      <c r="A85" s="13"/>
      <c r="B85" s="13"/>
      <c r="C85" s="13"/>
      <c r="D85" s="13"/>
      <c r="E85" s="13"/>
      <c r="F85" s="13"/>
      <c r="G85" s="13"/>
    </row>
    <row r="86" spans="1:7" x14ac:dyDescent="0.25">
      <c r="A86" s="13"/>
      <c r="B86" s="13"/>
      <c r="C86" s="13"/>
      <c r="D86" s="13"/>
      <c r="E86" s="13"/>
      <c r="F86" s="13"/>
      <c r="G86" s="13"/>
    </row>
    <row r="87" spans="1:7" x14ac:dyDescent="0.25">
      <c r="A87" s="13"/>
      <c r="B87" s="13"/>
      <c r="C87" s="13"/>
      <c r="D87" s="13"/>
      <c r="E87" s="13"/>
      <c r="F87" s="13"/>
      <c r="G87" s="13"/>
    </row>
    <row r="88" spans="1:7" x14ac:dyDescent="0.25">
      <c r="A88" s="13"/>
      <c r="B88" s="13"/>
      <c r="C88" s="13"/>
    </row>
    <row r="89" spans="1:7" x14ac:dyDescent="0.25">
      <c r="A89" s="13"/>
      <c r="B89" s="13"/>
    </row>
    <row r="112" ht="13.15" customHeight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</sheetData>
  <mergeCells count="10">
    <mergeCell ref="A1:F1"/>
    <mergeCell ref="H1:L1"/>
    <mergeCell ref="J2:L2"/>
    <mergeCell ref="B14:F17"/>
    <mergeCell ref="D2:F2"/>
    <mergeCell ref="E4:F6"/>
    <mergeCell ref="D10:E12"/>
    <mergeCell ref="K4:L6"/>
    <mergeCell ref="I14:L17"/>
    <mergeCell ref="J7:J9"/>
  </mergeCells>
  <conditionalFormatting sqref="H4:H12">
    <cfRule type="beginsWith" dxfId="119" priority="5" operator="beginsWith" text="0">
      <formula>LEFT(H4,LEN("0"))="0"</formula>
    </cfRule>
    <cfRule type="cellIs" dxfId="118" priority="6" operator="equal">
      <formula>0</formula>
    </cfRule>
    <cfRule type="cellIs" dxfId="117" priority="7" operator="equal">
      <formula>0</formula>
    </cfRule>
    <cfRule type="cellIs" dxfId="116" priority="8" operator="equal">
      <formula>0</formula>
    </cfRule>
  </conditionalFormatting>
  <conditionalFormatting sqref="H19:M19">
    <cfRule type="beginsWith" dxfId="115" priority="1" operator="beginsWith" text="0">
      <formula>LEFT(H19,LEN("0"))="0"</formula>
    </cfRule>
    <cfRule type="cellIs" dxfId="114" priority="2" operator="equal">
      <formula>0</formula>
    </cfRule>
    <cfRule type="cellIs" dxfId="113" priority="3" operator="equal">
      <formula>0</formula>
    </cfRule>
    <cfRule type="cellIs" dxfId="112" priority="4" operator="equal">
      <formula>0</formula>
    </cfRule>
  </conditionalFormatting>
  <dataValidations count="1">
    <dataValidation type="list" allowBlank="1" showInputMessage="1" showErrorMessage="1" sqref="H3" xr:uid="{91A21BB3-6E10-47F4-8C8C-77DCA685D621}">
      <formula1>Formulas_name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D7F94C-4D46-48BD-9901-A1F7A79F0171}">
          <x14:formula1>
            <xm:f>Materiales!$B$2:$B$40</xm:f>
          </x14:formula1>
          <xm:sqref>A4:A12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C06B-31F2-4459-A74B-9DCC3D1B3F1B}">
  <sheetPr codeName="Sheet6">
    <tabColor rgb="FFFFC000"/>
  </sheetPr>
  <dimension ref="A1:F67"/>
  <sheetViews>
    <sheetView showGridLines="0" showWhiteSpace="0" view="pageBreakPreview" zoomScale="115" zoomScaleNormal="100" zoomScaleSheetLayoutView="115" zoomScalePageLayoutView="85" workbookViewId="0">
      <selection activeCell="C7" sqref="C7"/>
    </sheetView>
  </sheetViews>
  <sheetFormatPr defaultColWidth="11.5703125" defaultRowHeight="15" x14ac:dyDescent="0.25"/>
  <cols>
    <col min="1" max="1" width="2.28515625" style="110" customWidth="1"/>
    <col min="2" max="2" width="36.140625" style="110" customWidth="1"/>
    <col min="3" max="3" width="16.85546875" style="110" customWidth="1"/>
    <col min="4" max="4" width="17.140625" style="110" customWidth="1"/>
    <col min="5" max="5" width="11" style="110" customWidth="1"/>
    <col min="6" max="6" width="14.7109375" style="110" customWidth="1"/>
    <col min="7" max="16384" width="11.5703125" style="1"/>
  </cols>
  <sheetData>
    <row r="1" spans="1:6" ht="25.9" customHeight="1" x14ac:dyDescent="0.25">
      <c r="A1" s="32"/>
      <c r="B1" s="33"/>
      <c r="C1" s="372" t="s">
        <v>143</v>
      </c>
      <c r="D1" s="373"/>
      <c r="E1" s="374"/>
      <c r="F1" s="43" t="s">
        <v>256</v>
      </c>
    </row>
    <row r="2" spans="1:6" ht="12.6" customHeight="1" x14ac:dyDescent="0.25">
      <c r="A2" s="34"/>
      <c r="B2" s="22"/>
      <c r="C2" s="375" t="s">
        <v>144</v>
      </c>
      <c r="D2" s="376"/>
      <c r="E2" s="377"/>
      <c r="F2" s="44" t="s">
        <v>257</v>
      </c>
    </row>
    <row r="3" spans="1:6" ht="14.45" customHeight="1" x14ac:dyDescent="0.25">
      <c r="A3" s="34"/>
      <c r="B3" s="22"/>
      <c r="C3" s="375"/>
      <c r="D3" s="376"/>
      <c r="E3" s="377"/>
      <c r="F3" s="44" t="s">
        <v>145</v>
      </c>
    </row>
    <row r="4" spans="1:6" ht="17.45" customHeight="1" thickBot="1" x14ac:dyDescent="0.3">
      <c r="A4" s="20"/>
      <c r="B4" s="35"/>
      <c r="C4" s="378"/>
      <c r="D4" s="379"/>
      <c r="E4" s="380"/>
      <c r="F4" s="45" t="s">
        <v>258</v>
      </c>
    </row>
    <row r="5" spans="1:6" ht="21.6" customHeight="1" thickBot="1" x14ac:dyDescent="0.3">
      <c r="A5" s="388" t="s">
        <v>146</v>
      </c>
      <c r="B5" s="389"/>
      <c r="C5" s="389"/>
      <c r="D5" s="389"/>
      <c r="E5" s="389"/>
      <c r="F5" s="390"/>
    </row>
    <row r="6" spans="1:6" ht="15.6" customHeight="1" x14ac:dyDescent="0.25">
      <c r="A6" s="1"/>
      <c r="B6" s="2"/>
      <c r="C6" s="3"/>
      <c r="D6" s="3"/>
      <c r="E6" s="4"/>
      <c r="F6" s="1"/>
    </row>
    <row r="7" spans="1:6" x14ac:dyDescent="0.25">
      <c r="A7" s="5" t="s">
        <v>147</v>
      </c>
      <c r="B7" s="19"/>
      <c r="C7" s="6" t="s">
        <v>495</v>
      </c>
      <c r="D7" s="6"/>
      <c r="E7" s="7" t="s">
        <v>148</v>
      </c>
      <c r="F7" s="8">
        <f ca="1">TODAY()</f>
        <v>46212</v>
      </c>
    </row>
    <row r="8" spans="1:6" x14ac:dyDescent="0.25">
      <c r="A8" s="5"/>
      <c r="B8" s="5"/>
      <c r="C8" s="6"/>
      <c r="D8" s="6"/>
      <c r="E8" s="1"/>
      <c r="F8" s="1"/>
    </row>
    <row r="9" spans="1:6" x14ac:dyDescent="0.25">
      <c r="A9" s="5" t="s">
        <v>149</v>
      </c>
      <c r="B9" s="5"/>
      <c r="C9" s="385" t="str">
        <f>Detalles_proyecto!B1</f>
        <v>POC Fibers Pharma</v>
      </c>
      <c r="D9" s="385"/>
      <c r="E9" s="1"/>
      <c r="F9" s="1"/>
    </row>
    <row r="10" spans="1:6" x14ac:dyDescent="0.25">
      <c r="A10" s="5" t="s">
        <v>150</v>
      </c>
      <c r="B10" s="5"/>
      <c r="C10" s="385">
        <f>Detalles_proyecto!B2</f>
        <v>0</v>
      </c>
      <c r="D10" s="385"/>
      <c r="E10" s="6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5" t="s">
        <v>151</v>
      </c>
      <c r="B12" s="5"/>
      <c r="C12" s="1"/>
      <c r="D12" s="124" t="s">
        <v>152</v>
      </c>
      <c r="E12" s="5">
        <v>500</v>
      </c>
      <c r="F12" s="1"/>
    </row>
    <row r="13" spans="1:6" ht="15.75" thickBot="1" x14ac:dyDescent="0.3">
      <c r="A13" s="2"/>
      <c r="B13" s="1"/>
      <c r="C13" s="1"/>
      <c r="D13" s="1"/>
      <c r="E13" s="1"/>
      <c r="F13" s="1"/>
    </row>
    <row r="14" spans="1:6" ht="14.45" customHeight="1" x14ac:dyDescent="0.25">
      <c r="A14" s="391" t="s">
        <v>153</v>
      </c>
      <c r="B14" s="392"/>
      <c r="C14" s="403" t="s">
        <v>154</v>
      </c>
      <c r="D14" s="395" t="s">
        <v>155</v>
      </c>
      <c r="E14" s="395" t="s">
        <v>156</v>
      </c>
      <c r="F14" s="395" t="s">
        <v>157</v>
      </c>
    </row>
    <row r="15" spans="1:6" ht="19.899999999999999" customHeight="1" thickBot="1" x14ac:dyDescent="0.3">
      <c r="A15" s="393"/>
      <c r="B15" s="394"/>
      <c r="C15" s="404"/>
      <c r="D15" s="402"/>
      <c r="E15" s="402"/>
      <c r="F15" s="396"/>
    </row>
    <row r="16" spans="1:6" ht="17.45" customHeight="1" thickBot="1" x14ac:dyDescent="0.3">
      <c r="A16" s="42" t="s">
        <v>158</v>
      </c>
      <c r="B16" s="144" t="str">
        <f>VLOOKUP(Imprimir!$C$7,Soluciones_composicion!A$1:AG$29,3,FALSE)</f>
        <v>CHLOROFORM ANHYDROUS 99%</v>
      </c>
      <c r="C16" s="107"/>
      <c r="D16" s="128" t="str">
        <f>IFERROR(VLOOKUP(B16,LMP,2,0),"")</f>
        <v/>
      </c>
      <c r="E16" s="146">
        <f>(VLOOKUP(Imprimir!$C$7,Soluciones_composicion!A$1:AG$29,4,FALSE))*$E$12</f>
        <v>335.6</v>
      </c>
      <c r="F16" s="30" t="str">
        <f>IF(E16=0,0,"")</f>
        <v/>
      </c>
    </row>
    <row r="17" spans="1:6" ht="15.75" thickBot="1" x14ac:dyDescent="0.3">
      <c r="A17" s="42" t="s">
        <v>159</v>
      </c>
      <c r="B17" s="144" t="str">
        <f>VLOOKUP(Imprimir!$C$7,Soluciones_composicion!A$1:AG$29,6,FALSE)</f>
        <v>MeOH - Metanol - 99.6% - Sigma Aldrich</v>
      </c>
      <c r="C17" s="108"/>
      <c r="D17" s="129" t="str">
        <f t="shared" ref="D17:D24" si="0">IFERROR(VLOOKUP(B17,LMP,2,0),"")</f>
        <v>1200063</v>
      </c>
      <c r="E17" s="144">
        <f>(VLOOKUP(Imprimir!$C$7,Soluciones_composicion!A$1:AG$29,7,FALSE))*$E$12</f>
        <v>83.9</v>
      </c>
      <c r="F17" s="29" t="str">
        <f t="shared" ref="F17:F24" si="1">IF(E17=0,0,"")</f>
        <v/>
      </c>
    </row>
    <row r="18" spans="1:6" ht="15.75" thickBot="1" x14ac:dyDescent="0.3">
      <c r="A18" s="42" t="s">
        <v>160</v>
      </c>
      <c r="B18" s="144">
        <f>VLOOKUP(Imprimir!$C$7,Soluciones_composicion!A$1:AG$29,9,FALSE)</f>
        <v>0</v>
      </c>
      <c r="C18" s="108"/>
      <c r="D18" s="129" t="str">
        <f t="shared" si="0"/>
        <v/>
      </c>
      <c r="E18" s="144">
        <f>(VLOOKUP(Imprimir!$C$7,Soluciones_composicion!A$1:AG$29,10,FALSE))*$E$12</f>
        <v>0</v>
      </c>
      <c r="F18" s="29">
        <f t="shared" si="1"/>
        <v>0</v>
      </c>
    </row>
    <row r="19" spans="1:6" ht="15.75" thickBot="1" x14ac:dyDescent="0.3">
      <c r="A19" s="42" t="s">
        <v>161</v>
      </c>
      <c r="B19" s="144" t="str">
        <f>VLOOKUP(Imprimir!$C$7,Soluciones_composicion!A$1:AG$29,12,FALSE)</f>
        <v>PEO PROD COLORCON</v>
      </c>
      <c r="C19" s="108"/>
      <c r="D19" s="129">
        <f t="shared" si="0"/>
        <v>0</v>
      </c>
      <c r="E19" s="144">
        <f>(VLOOKUP(Imprimir!$C$7,Soluciones_composicion!A$1:AG$29,13,FALSE))*$E$12</f>
        <v>40</v>
      </c>
      <c r="F19" s="29" t="str">
        <f t="shared" si="1"/>
        <v/>
      </c>
    </row>
    <row r="20" spans="1:6" ht="15.75" thickBot="1" x14ac:dyDescent="0.3">
      <c r="A20" s="42" t="s">
        <v>162</v>
      </c>
      <c r="B20" s="144" t="str">
        <f>VLOOKUP(Imprimir!$C$7,Soluciones_composicion!A$1:AG$29,16,FALSE)</f>
        <v>PEG400 SIGMA GRADO R&amp;D</v>
      </c>
      <c r="C20" s="108"/>
      <c r="D20" s="129">
        <f t="shared" si="0"/>
        <v>0</v>
      </c>
      <c r="E20" s="144">
        <f>(VLOOKUP(Imprimir!$C$7,Soluciones_composicion!A$1:AG$29,17,FALSE))*$E$12</f>
        <v>10</v>
      </c>
      <c r="F20" s="29" t="str">
        <f t="shared" si="1"/>
        <v/>
      </c>
    </row>
    <row r="21" spans="1:6" ht="15.75" thickBot="1" x14ac:dyDescent="0.3">
      <c r="A21" s="42" t="s">
        <v>163</v>
      </c>
      <c r="B21" s="144">
        <f>VLOOKUP(Imprimir!$C$7,Soluciones_composicion!A$1:AG$29,20,FALSE)</f>
        <v>0</v>
      </c>
      <c r="C21" s="108"/>
      <c r="D21" s="129" t="str">
        <f t="shared" si="0"/>
        <v/>
      </c>
      <c r="E21" s="144">
        <f>(VLOOKUP(Imprimir!$C$7,Soluciones_composicion!A$1:AG$29,21,FALSE))*$E$12</f>
        <v>0</v>
      </c>
      <c r="F21" s="29">
        <f t="shared" si="1"/>
        <v>0</v>
      </c>
    </row>
    <row r="22" spans="1:6" ht="15.75" thickBot="1" x14ac:dyDescent="0.3">
      <c r="A22" s="42" t="s">
        <v>164</v>
      </c>
      <c r="B22" s="144" t="str">
        <f>VLOOKUP(Imprimir!$C$7,Soluciones_composicion!A$1:AG$29,24,FALSE)</f>
        <v>oleic acid</v>
      </c>
      <c r="C22" s="108"/>
      <c r="D22" s="129" t="str">
        <f t="shared" si="0"/>
        <v>1200066</v>
      </c>
      <c r="E22" s="144">
        <f>(VLOOKUP(Imprimir!$C$7,Soluciones_composicion!A$1:AG$29,25,FALSE))*$E$12</f>
        <v>8.75</v>
      </c>
      <c r="F22" s="29" t="str">
        <f t="shared" si="1"/>
        <v/>
      </c>
    </row>
    <row r="23" spans="1:6" ht="15.75" thickBot="1" x14ac:dyDescent="0.3">
      <c r="A23" s="42" t="s">
        <v>165</v>
      </c>
      <c r="B23" s="144" t="str">
        <f>VLOOKUP(Imprimir!$C$7,Soluciones_composicion!A$1:AG$29,27,FALSE)</f>
        <v>CAFFEINE</v>
      </c>
      <c r="C23" s="108"/>
      <c r="D23" s="129" t="str">
        <f t="shared" si="0"/>
        <v/>
      </c>
      <c r="E23" s="144">
        <f>(VLOOKUP(Imprimir!$C$7,Soluciones_composicion!A$1:AG$29,28,FALSE))*$E$12</f>
        <v>21.75</v>
      </c>
      <c r="F23" s="29" t="str">
        <f t="shared" si="1"/>
        <v/>
      </c>
    </row>
    <row r="24" spans="1:6" ht="15.75" thickBot="1" x14ac:dyDescent="0.3">
      <c r="A24" s="126" t="s">
        <v>166</v>
      </c>
      <c r="B24" s="145">
        <f>VLOOKUP(Imprimir!$C$7,Soluciones_composicion!A$1:AG$29,30,FALSE)</f>
        <v>0</v>
      </c>
      <c r="C24" s="109"/>
      <c r="D24" s="130" t="str">
        <f t="shared" si="0"/>
        <v/>
      </c>
      <c r="E24" s="143">
        <f>(VLOOKUP(Imprimir!$C$7,Soluciones_composicion!A$1:AG$29,31,FALSE))*$E$12</f>
        <v>0</v>
      </c>
      <c r="F24" s="131">
        <f t="shared" si="1"/>
        <v>0</v>
      </c>
    </row>
    <row r="25" spans="1:6" ht="15.75" thickBot="1" x14ac:dyDescent="0.3">
      <c r="A25" s="21" t="s">
        <v>102</v>
      </c>
      <c r="B25" s="127"/>
      <c r="C25" s="9"/>
      <c r="D25" s="9"/>
      <c r="E25" s="10">
        <f>SUM(E16:E24)</f>
        <v>500</v>
      </c>
      <c r="F25" s="12"/>
    </row>
    <row r="26" spans="1:6" ht="15.75" thickBot="1" x14ac:dyDescent="0.3">
      <c r="A26" s="2"/>
      <c r="B26" s="1"/>
      <c r="C26" s="1"/>
      <c r="D26" s="1"/>
      <c r="E26" s="1"/>
      <c r="F26" s="1"/>
    </row>
    <row r="27" spans="1:6" ht="15" customHeight="1" thickBot="1" x14ac:dyDescent="0.3">
      <c r="A27" s="36" t="s">
        <v>167</v>
      </c>
      <c r="B27" s="37"/>
      <c r="C27" s="397"/>
      <c r="D27" s="398"/>
      <c r="E27" s="399"/>
      <c r="F27" s="400"/>
    </row>
    <row r="28" spans="1:6" ht="16.149999999999999" customHeight="1" thickBot="1" x14ac:dyDescent="0.3">
      <c r="A28" s="38" t="s">
        <v>168</v>
      </c>
      <c r="B28" s="99"/>
      <c r="C28" s="405"/>
      <c r="D28" s="406"/>
      <c r="E28" s="405"/>
      <c r="F28" s="406"/>
    </row>
    <row r="29" spans="1:6" ht="13.9" customHeight="1" thickBot="1" x14ac:dyDescent="0.3">
      <c r="A29" s="38" t="s">
        <v>169</v>
      </c>
      <c r="B29" s="39"/>
      <c r="C29" s="401"/>
      <c r="D29" s="399"/>
      <c r="E29" s="399"/>
      <c r="F29" s="400"/>
    </row>
    <row r="30" spans="1:6" ht="13.9" customHeight="1" thickBot="1" x14ac:dyDescent="0.3">
      <c r="A30" s="38" t="s">
        <v>170</v>
      </c>
      <c r="B30" s="39"/>
      <c r="C30" s="401"/>
      <c r="D30" s="399"/>
      <c r="E30" s="399"/>
      <c r="F30" s="400"/>
    </row>
    <row r="31" spans="1:6" ht="16.149999999999999" customHeight="1" thickBot="1" x14ac:dyDescent="0.3">
      <c r="A31" s="11" t="s">
        <v>171</v>
      </c>
      <c r="B31" s="1"/>
      <c r="C31" s="1"/>
      <c r="D31" s="1"/>
      <c r="E31" s="1"/>
      <c r="F31" s="1"/>
    </row>
    <row r="32" spans="1:6" ht="15.6" customHeight="1" x14ac:dyDescent="0.25">
      <c r="A32" s="397">
        <f>VLOOKUP(Imprimir!$C$7,Soluciones_composicion!A$1:AG$29,33,FALSE)</f>
        <v>0</v>
      </c>
      <c r="B32" s="409"/>
      <c r="C32" s="409"/>
      <c r="D32" s="409"/>
      <c r="E32" s="409"/>
      <c r="F32" s="410"/>
    </row>
    <row r="33" spans="1:6" ht="14.45" customHeight="1" x14ac:dyDescent="0.25">
      <c r="A33" s="411"/>
      <c r="B33" s="412"/>
      <c r="C33" s="412"/>
      <c r="D33" s="412"/>
      <c r="E33" s="412"/>
      <c r="F33" s="413"/>
    </row>
    <row r="34" spans="1:6" ht="15.6" customHeight="1" x14ac:dyDescent="0.25">
      <c r="A34" s="411"/>
      <c r="B34" s="412"/>
      <c r="C34" s="412"/>
      <c r="D34" s="412"/>
      <c r="E34" s="412"/>
      <c r="F34" s="413"/>
    </row>
    <row r="35" spans="1:6" ht="14.45" customHeight="1" x14ac:dyDescent="0.25">
      <c r="A35" s="411"/>
      <c r="B35" s="412"/>
      <c r="C35" s="412"/>
      <c r="D35" s="412"/>
      <c r="E35" s="412"/>
      <c r="F35" s="413"/>
    </row>
    <row r="36" spans="1:6" ht="14.45" customHeight="1" thickBot="1" x14ac:dyDescent="0.3">
      <c r="A36" s="414"/>
      <c r="B36" s="415"/>
      <c r="C36" s="415"/>
      <c r="D36" s="415"/>
      <c r="E36" s="415"/>
      <c r="F36" s="416"/>
    </row>
    <row r="37" spans="1:6" ht="33" customHeight="1" thickBot="1" x14ac:dyDescent="0.3">
      <c r="A37" s="407" t="s">
        <v>172</v>
      </c>
      <c r="B37" s="408"/>
      <c r="C37" s="106" t="s">
        <v>173</v>
      </c>
      <c r="D37" s="106" t="s">
        <v>174</v>
      </c>
      <c r="E37" s="106" t="s">
        <v>175</v>
      </c>
      <c r="F37" s="101"/>
    </row>
    <row r="38" spans="1:6" ht="15.75" thickBot="1" x14ac:dyDescent="0.3">
      <c r="A38" s="383" t="s">
        <v>176</v>
      </c>
      <c r="B38" s="384"/>
      <c r="C38" s="102"/>
      <c r="D38" s="103"/>
      <c r="E38" s="104"/>
      <c r="F38" s="102" t="s">
        <v>177</v>
      </c>
    </row>
    <row r="39" spans="1:6" ht="15.75" thickBot="1" x14ac:dyDescent="0.3">
      <c r="A39" s="383" t="s">
        <v>178</v>
      </c>
      <c r="B39" s="384"/>
      <c r="C39" s="102" t="s">
        <v>179</v>
      </c>
      <c r="D39" s="103"/>
      <c r="E39" s="104"/>
      <c r="F39" s="102" t="s">
        <v>180</v>
      </c>
    </row>
    <row r="40" spans="1:6" ht="15.75" thickBot="1" x14ac:dyDescent="0.3">
      <c r="A40" s="383" t="s">
        <v>181</v>
      </c>
      <c r="B40" s="384"/>
      <c r="C40" s="102" t="s">
        <v>179</v>
      </c>
      <c r="D40" s="103"/>
      <c r="E40" s="104"/>
      <c r="F40" s="102" t="s">
        <v>182</v>
      </c>
    </row>
    <row r="41" spans="1:6" ht="15.75" thickBot="1" x14ac:dyDescent="0.3">
      <c r="A41" s="383" t="s">
        <v>183</v>
      </c>
      <c r="B41" s="384"/>
      <c r="C41" s="102"/>
      <c r="D41" s="103"/>
      <c r="E41" s="104"/>
      <c r="F41" s="102" t="s">
        <v>184</v>
      </c>
    </row>
    <row r="42" spans="1:6" ht="15.75" thickBot="1" x14ac:dyDescent="0.3">
      <c r="A42" s="381" t="s">
        <v>185</v>
      </c>
      <c r="B42" s="382"/>
      <c r="C42" s="102"/>
      <c r="D42" s="103"/>
      <c r="E42" s="104"/>
      <c r="F42" s="102" t="s">
        <v>185</v>
      </c>
    </row>
    <row r="43" spans="1:6" ht="15.75" thickBot="1" x14ac:dyDescent="0.3">
      <c r="A43" s="383" t="s">
        <v>186</v>
      </c>
      <c r="B43" s="384"/>
      <c r="C43" s="102" t="s">
        <v>179</v>
      </c>
      <c r="D43" s="103"/>
      <c r="E43" s="104"/>
      <c r="F43" s="105" t="s">
        <v>187</v>
      </c>
    </row>
    <row r="44" spans="1:6" ht="15.75" thickBot="1" x14ac:dyDescent="0.3">
      <c r="A44" s="435" t="s">
        <v>188</v>
      </c>
      <c r="B44" s="436"/>
      <c r="C44" s="426" t="s">
        <v>189</v>
      </c>
      <c r="D44" s="427"/>
      <c r="E44" s="428" t="s">
        <v>190</v>
      </c>
      <c r="F44" s="427"/>
    </row>
    <row r="45" spans="1:6" ht="15.75" thickBot="1" x14ac:dyDescent="0.3">
      <c r="A45" s="386"/>
      <c r="B45" s="387"/>
      <c r="C45" s="386"/>
      <c r="D45" s="387"/>
      <c r="E45" s="401"/>
      <c r="F45" s="400"/>
    </row>
    <row r="46" spans="1:6" ht="15.75" thickBot="1" x14ac:dyDescent="0.3">
      <c r="A46" s="1"/>
      <c r="B46" s="100"/>
      <c r="C46" s="100"/>
      <c r="D46" s="100"/>
      <c r="E46" s="100"/>
      <c r="F46" s="100"/>
    </row>
    <row r="47" spans="1:6" ht="18.75" thickBot="1" x14ac:dyDescent="0.3">
      <c r="A47" s="388" t="s">
        <v>191</v>
      </c>
      <c r="B47" s="389"/>
      <c r="C47" s="389"/>
      <c r="D47" s="389"/>
      <c r="E47" s="389"/>
      <c r="F47" s="390"/>
    </row>
    <row r="48" spans="1:6" ht="15.75" thickBot="1" x14ac:dyDescent="0.3">
      <c r="A48" s="1"/>
      <c r="B48" s="1"/>
      <c r="C48" s="1"/>
      <c r="D48" s="1"/>
      <c r="E48" s="1"/>
      <c r="F48" s="1"/>
    </row>
    <row r="49" spans="1:6" ht="16.5" thickBot="1" x14ac:dyDescent="0.3">
      <c r="A49" s="429" t="s">
        <v>192</v>
      </c>
      <c r="B49" s="430"/>
      <c r="C49" s="115"/>
      <c r="D49" s="115"/>
      <c r="E49" s="115"/>
      <c r="F49" s="116"/>
    </row>
    <row r="50" spans="1:6" ht="15.6" customHeight="1" x14ac:dyDescent="0.25">
      <c r="A50" s="417"/>
      <c r="B50" s="418"/>
      <c r="C50" s="418"/>
      <c r="D50" s="418"/>
      <c r="E50" s="418"/>
      <c r="F50" s="419"/>
    </row>
    <row r="51" spans="1:6" ht="14.45" customHeight="1" x14ac:dyDescent="0.25">
      <c r="A51" s="420"/>
      <c r="B51" s="421"/>
      <c r="C51" s="421"/>
      <c r="D51" s="421"/>
      <c r="E51" s="421"/>
      <c r="F51" s="422"/>
    </row>
    <row r="52" spans="1:6" ht="14.45" customHeight="1" x14ac:dyDescent="0.25">
      <c r="A52" s="420"/>
      <c r="B52" s="421"/>
      <c r="C52" s="421"/>
      <c r="D52" s="421"/>
      <c r="E52" s="421"/>
      <c r="F52" s="422"/>
    </row>
    <row r="53" spans="1:6" ht="14.45" customHeight="1" x14ac:dyDescent="0.25">
      <c r="A53" s="420"/>
      <c r="B53" s="421"/>
      <c r="C53" s="421"/>
      <c r="D53" s="421"/>
      <c r="E53" s="421"/>
      <c r="F53" s="422"/>
    </row>
    <row r="54" spans="1:6" ht="15" customHeight="1" thickBot="1" x14ac:dyDescent="0.3">
      <c r="A54" s="423"/>
      <c r="B54" s="424"/>
      <c r="C54" s="424"/>
      <c r="D54" s="424"/>
      <c r="E54" s="424"/>
      <c r="F54" s="425"/>
    </row>
    <row r="55" spans="1:6" ht="16.5" thickBot="1" x14ac:dyDescent="0.3">
      <c r="A55" s="429" t="s">
        <v>193</v>
      </c>
      <c r="B55" s="430"/>
      <c r="C55" s="121"/>
      <c r="D55" s="121"/>
      <c r="E55" s="121"/>
      <c r="F55" s="122"/>
    </row>
    <row r="56" spans="1:6" ht="15.6" customHeight="1" x14ac:dyDescent="0.25">
      <c r="A56" s="431" t="s">
        <v>2</v>
      </c>
      <c r="B56" s="432"/>
      <c r="C56" s="123"/>
      <c r="D56" s="111"/>
      <c r="E56" s="111"/>
      <c r="F56" s="114"/>
    </row>
    <row r="57" spans="1:6" ht="16.149999999999999" customHeight="1" x14ac:dyDescent="0.25">
      <c r="A57" s="431" t="s">
        <v>3</v>
      </c>
      <c r="B57" s="432"/>
      <c r="C57" s="123"/>
      <c r="D57" s="111"/>
      <c r="E57" s="111"/>
      <c r="F57" s="114"/>
    </row>
    <row r="58" spans="1:6" ht="14.45" customHeight="1" x14ac:dyDescent="0.25">
      <c r="A58" s="431" t="s">
        <v>194</v>
      </c>
      <c r="B58" s="432"/>
      <c r="C58" s="123"/>
      <c r="D58" s="119" t="s">
        <v>4</v>
      </c>
      <c r="E58" s="120"/>
      <c r="F58" s="114"/>
    </row>
    <row r="59" spans="1:6" ht="14.45" customHeight="1" x14ac:dyDescent="0.25">
      <c r="A59" s="113"/>
      <c r="B59" s="112" t="s">
        <v>195</v>
      </c>
      <c r="C59" s="123"/>
      <c r="D59"/>
      <c r="E59"/>
      <c r="F59"/>
    </row>
    <row r="60" spans="1:6" ht="14.45" customHeight="1" x14ac:dyDescent="0.25">
      <c r="A60" s="431" t="s">
        <v>196</v>
      </c>
      <c r="B60" s="432"/>
      <c r="C60" s="123"/>
      <c r="D60" s="111"/>
      <c r="E60" s="111"/>
      <c r="F60" s="114"/>
    </row>
    <row r="61" spans="1:6" ht="14.45" customHeight="1" thickBot="1" x14ac:dyDescent="0.3">
      <c r="A61" s="431" t="s">
        <v>197</v>
      </c>
      <c r="B61" s="432"/>
      <c r="C61" s="123"/>
      <c r="D61" s="111"/>
      <c r="E61" s="111"/>
      <c r="F61" s="114"/>
    </row>
    <row r="62" spans="1:6" ht="15" customHeight="1" thickBot="1" x14ac:dyDescent="0.3">
      <c r="A62" s="433" t="s">
        <v>198</v>
      </c>
      <c r="B62" s="434"/>
      <c r="C62" s="117"/>
      <c r="D62" s="117"/>
      <c r="E62" s="117"/>
      <c r="F62" s="118"/>
    </row>
    <row r="63" spans="1:6" ht="15" customHeight="1" x14ac:dyDescent="0.25">
      <c r="A63" s="417"/>
      <c r="B63" s="418"/>
      <c r="C63" s="418"/>
      <c r="D63" s="418"/>
      <c r="E63" s="418"/>
      <c r="F63" s="419"/>
    </row>
    <row r="64" spans="1:6" ht="15" customHeight="1" x14ac:dyDescent="0.25">
      <c r="A64" s="420"/>
      <c r="B64" s="421"/>
      <c r="C64" s="421"/>
      <c r="D64" s="421"/>
      <c r="E64" s="421"/>
      <c r="F64" s="422"/>
    </row>
    <row r="65" spans="1:6" ht="15" customHeight="1" x14ac:dyDescent="0.25">
      <c r="A65" s="420"/>
      <c r="B65" s="421"/>
      <c r="C65" s="421"/>
      <c r="D65" s="421"/>
      <c r="E65" s="421"/>
      <c r="F65" s="422"/>
    </row>
    <row r="66" spans="1:6" ht="15" customHeight="1" x14ac:dyDescent="0.25">
      <c r="A66" s="420"/>
      <c r="B66" s="421"/>
      <c r="C66" s="421"/>
      <c r="D66" s="421"/>
      <c r="E66" s="421"/>
      <c r="F66" s="422"/>
    </row>
    <row r="67" spans="1:6" ht="14.45" customHeight="1" thickBot="1" x14ac:dyDescent="0.3">
      <c r="A67" s="423"/>
      <c r="B67" s="424"/>
      <c r="C67" s="424"/>
      <c r="D67" s="424"/>
      <c r="E67" s="424"/>
      <c r="F67" s="425"/>
    </row>
  </sheetData>
  <protectedRanges>
    <protectedRange algorithmName="SHA-512" hashValue="n4wrgJgIHIHtiGtMhDDDc0UmstQJ8hDs/kwLRQtWqYFbBeb4I2wQtPptbPFRq6qGhiCvs1rRuYJxa1dlNGfU1A==" saltValue="pxnN/uWl+k3uvlQeyFlBbg==" spinCount="100000" sqref="A50 A63 A51:B62 A64:B66 C50:F66" name="Proceso"/>
  </protectedRanges>
  <mergeCells count="40">
    <mergeCell ref="A63:F67"/>
    <mergeCell ref="C44:D44"/>
    <mergeCell ref="E44:F44"/>
    <mergeCell ref="E45:F45"/>
    <mergeCell ref="C45:D45"/>
    <mergeCell ref="A47:F47"/>
    <mergeCell ref="A49:B49"/>
    <mergeCell ref="A55:B55"/>
    <mergeCell ref="A50:F54"/>
    <mergeCell ref="A56:B56"/>
    <mergeCell ref="A57:B57"/>
    <mergeCell ref="A58:B58"/>
    <mergeCell ref="A60:B60"/>
    <mergeCell ref="A62:B62"/>
    <mergeCell ref="A61:B61"/>
    <mergeCell ref="A44:B44"/>
    <mergeCell ref="A45:B45"/>
    <mergeCell ref="A5:F5"/>
    <mergeCell ref="A14:B15"/>
    <mergeCell ref="F14:F15"/>
    <mergeCell ref="C27:F27"/>
    <mergeCell ref="C29:F29"/>
    <mergeCell ref="C30:F30"/>
    <mergeCell ref="D14:D15"/>
    <mergeCell ref="C14:C15"/>
    <mergeCell ref="E14:E15"/>
    <mergeCell ref="C28:D28"/>
    <mergeCell ref="E28:F28"/>
    <mergeCell ref="A37:B37"/>
    <mergeCell ref="A38:B38"/>
    <mergeCell ref="A39:B39"/>
    <mergeCell ref="A32:F36"/>
    <mergeCell ref="C1:E1"/>
    <mergeCell ref="C2:E4"/>
    <mergeCell ref="A42:B42"/>
    <mergeCell ref="A43:B43"/>
    <mergeCell ref="A40:B40"/>
    <mergeCell ref="A41:B41"/>
    <mergeCell ref="C9:D9"/>
    <mergeCell ref="C10:D10"/>
  </mergeCells>
  <conditionalFormatting sqref="A32">
    <cfRule type="beginsWith" dxfId="111" priority="10" operator="beginsWith" text="0">
      <formula>LEFT(A32,LEN("0"))="0"</formula>
    </cfRule>
  </conditionalFormatting>
  <conditionalFormatting sqref="A56">
    <cfRule type="beginsWith" dxfId="110" priority="1" operator="beginsWith" text="0">
      <formula>LEFT(A56,LEN("0"))="0"</formula>
    </cfRule>
  </conditionalFormatting>
  <conditionalFormatting sqref="B16:B24">
    <cfRule type="beginsWith" dxfId="109" priority="16" operator="beginsWith" text="0">
      <formula>LEFT(B16,LEN("0"))="0"</formula>
    </cfRule>
    <cfRule type="cellIs" dxfId="108" priority="17" operator="equal">
      <formula>0</formula>
    </cfRule>
    <cfRule type="cellIs" dxfId="107" priority="18" operator="equal">
      <formula>0</formula>
    </cfRule>
    <cfRule type="cellIs" dxfId="106" priority="19" operator="equal">
      <formula>0</formula>
    </cfRule>
  </conditionalFormatting>
  <conditionalFormatting sqref="C27:C30 C38:C43 E38:E43">
    <cfRule type="cellIs" dxfId="105" priority="7" operator="equal">
      <formula>0</formula>
    </cfRule>
  </conditionalFormatting>
  <conditionalFormatting sqref="C16:F24">
    <cfRule type="cellIs" dxfId="104" priority="11" operator="equal">
      <formula>0</formula>
    </cfRule>
  </conditionalFormatting>
  <conditionalFormatting sqref="D16:D24">
    <cfRule type="cellIs" dxfId="103" priority="5" operator="equal">
      <formula>""</formula>
    </cfRule>
  </conditionalFormatting>
  <conditionalFormatting sqref="E28">
    <cfRule type="cellIs" dxfId="102" priority="3" operator="equal">
      <formula>0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Page 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D001B0D-6A97-454B-AE99-84583B91FAC7}">
          <x14:formula1>
            <xm:f>Materiales!#REF!</xm:f>
          </x14:formula1>
          <xm:sqref>E58 C61 C59 C56:C57</xm:sqref>
        </x14:dataValidation>
        <x14:dataValidation type="list" allowBlank="1" showInputMessage="1" showErrorMessage="1" xr:uid="{C06FB79B-3863-43F9-A079-5F5F7C9389BE}">
          <x14:formula1>
            <xm:f>Soluciones_composicion!$A:$A</xm:f>
          </x14:formula1>
          <xm:sqref>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19AD-4014-4127-BA22-FE0FE3687422}">
  <sheetPr codeName="Sheet9"/>
  <dimension ref="A1:AG40"/>
  <sheetViews>
    <sheetView showGridLines="0" zoomScale="85" zoomScaleNormal="85" workbookViewId="0">
      <pane xSplit="1" topLeftCell="B1" activePane="topRight" state="frozen"/>
      <selection pane="topRight" activeCell="E22" sqref="E22"/>
    </sheetView>
  </sheetViews>
  <sheetFormatPr defaultColWidth="8.85546875" defaultRowHeight="15" x14ac:dyDescent="0.25"/>
  <cols>
    <col min="1" max="1" width="16.42578125" style="202" customWidth="1"/>
    <col min="2" max="2" width="14.28515625" style="204" customWidth="1"/>
    <col min="3" max="3" width="28.42578125" style="203" customWidth="1"/>
    <col min="4" max="4" width="27.28515625" style="201" bestFit="1" customWidth="1"/>
    <col min="5" max="5" width="38.42578125" style="201" customWidth="1"/>
    <col min="6" max="6" width="35" style="202" customWidth="1"/>
    <col min="7" max="7" width="40.42578125" style="201" customWidth="1"/>
    <col min="8" max="8" width="36.28515625" style="201" customWidth="1"/>
    <col min="9" max="9" width="31" style="202" customWidth="1"/>
    <col min="10" max="10" width="42.7109375" style="201" customWidth="1"/>
    <col min="11" max="11" width="23.85546875" style="201" customWidth="1"/>
    <col min="12" max="12" width="23.7109375" style="202" customWidth="1"/>
    <col min="13" max="13" width="18.5703125" style="201" customWidth="1"/>
    <col min="14" max="14" width="20.5703125" style="201" customWidth="1"/>
    <col min="15" max="15" width="39.28515625" style="201" customWidth="1"/>
    <col min="16" max="16" width="33.28515625" style="202" customWidth="1"/>
    <col min="17" max="17" width="16.7109375" style="201" customWidth="1"/>
    <col min="18" max="18" width="22" style="201" customWidth="1"/>
    <col min="19" max="19" width="20.42578125" style="201" customWidth="1"/>
    <col min="20" max="20" width="18.85546875" style="202" customWidth="1"/>
    <col min="21" max="21" width="28.7109375" style="201" customWidth="1"/>
    <col min="22" max="22" width="23" style="201" customWidth="1"/>
    <col min="23" max="23" width="20.42578125" style="201" customWidth="1"/>
    <col min="24" max="24" width="18.28515625" style="202" customWidth="1"/>
    <col min="25" max="25" width="27.140625" style="201" customWidth="1"/>
    <col min="26" max="26" width="20.42578125" style="201" customWidth="1"/>
    <col min="27" max="27" width="18.28515625" style="202" customWidth="1"/>
    <col min="28" max="28" width="17.7109375" style="201" customWidth="1"/>
    <col min="29" max="29" width="20.7109375" style="201" customWidth="1"/>
    <col min="30" max="30" width="43" style="202" customWidth="1"/>
    <col min="31" max="31" width="18.28515625" style="201" customWidth="1"/>
    <col min="32" max="32" width="28.28515625" style="201" customWidth="1"/>
    <col min="33" max="33" width="58.5703125" style="202" customWidth="1"/>
    <col min="34" max="16384" width="8.85546875" style="13"/>
  </cols>
  <sheetData>
    <row r="1" spans="1:33" s="203" customFormat="1" ht="46.15" customHeight="1" x14ac:dyDescent="0.25">
      <c r="A1" s="205" t="s">
        <v>453</v>
      </c>
      <c r="B1" s="206" t="s">
        <v>110</v>
      </c>
      <c r="C1" s="311" t="s">
        <v>111</v>
      </c>
      <c r="D1" s="208" t="s">
        <v>112</v>
      </c>
      <c r="E1" s="208" t="s">
        <v>113</v>
      </c>
      <c r="F1" s="207" t="s">
        <v>114</v>
      </c>
      <c r="G1" s="208" t="s">
        <v>115</v>
      </c>
      <c r="H1" s="208" t="s">
        <v>116</v>
      </c>
      <c r="I1" s="207" t="s">
        <v>117</v>
      </c>
      <c r="J1" s="208" t="s">
        <v>118</v>
      </c>
      <c r="K1" s="208" t="s">
        <v>119</v>
      </c>
      <c r="L1" s="209" t="s">
        <v>120</v>
      </c>
      <c r="M1" s="208" t="s">
        <v>121</v>
      </c>
      <c r="N1" s="208" t="s">
        <v>122</v>
      </c>
      <c r="O1" s="208" t="s">
        <v>123</v>
      </c>
      <c r="P1" s="209" t="s">
        <v>124</v>
      </c>
      <c r="Q1" s="208" t="s">
        <v>125</v>
      </c>
      <c r="R1" s="208" t="s">
        <v>126</v>
      </c>
      <c r="S1" s="208" t="s">
        <v>127</v>
      </c>
      <c r="T1" s="209" t="s">
        <v>128</v>
      </c>
      <c r="U1" s="208" t="s">
        <v>129</v>
      </c>
      <c r="V1" s="208" t="s">
        <v>130</v>
      </c>
      <c r="W1" s="208" t="s">
        <v>131</v>
      </c>
      <c r="X1" s="46" t="s">
        <v>132</v>
      </c>
      <c r="Y1" s="208" t="s">
        <v>133</v>
      </c>
      <c r="Z1" s="208" t="s">
        <v>134</v>
      </c>
      <c r="AA1" s="46" t="s">
        <v>135</v>
      </c>
      <c r="AB1" s="208" t="s">
        <v>136</v>
      </c>
      <c r="AC1" s="208" t="s">
        <v>137</v>
      </c>
      <c r="AD1" s="46" t="s">
        <v>138</v>
      </c>
      <c r="AE1" s="208" t="s">
        <v>139</v>
      </c>
      <c r="AF1" s="208" t="s">
        <v>140</v>
      </c>
      <c r="AG1" s="46" t="s">
        <v>141</v>
      </c>
    </row>
    <row r="2" spans="1:33" s="203" customFormat="1" ht="46.15" customHeight="1" x14ac:dyDescent="0.25">
      <c r="A2" s="205" t="s">
        <v>504</v>
      </c>
      <c r="B2" s="206">
        <v>45167</v>
      </c>
      <c r="C2" s="311" t="s">
        <v>467</v>
      </c>
      <c r="D2" s="208">
        <v>0.69720000000000004</v>
      </c>
      <c r="E2" s="208">
        <v>0.8</v>
      </c>
      <c r="F2" s="207" t="s">
        <v>315</v>
      </c>
      <c r="G2" s="208">
        <v>0.17430000000000001</v>
      </c>
      <c r="H2" s="208">
        <v>0.2</v>
      </c>
      <c r="I2" s="207"/>
      <c r="J2" s="208">
        <v>0</v>
      </c>
      <c r="K2" s="208"/>
      <c r="L2" s="209" t="s">
        <v>473</v>
      </c>
      <c r="M2" s="208">
        <v>0.09</v>
      </c>
      <c r="N2" s="208">
        <v>0.8</v>
      </c>
      <c r="O2" s="208">
        <v>0.70038910505836571</v>
      </c>
      <c r="P2" s="209" t="s">
        <v>471</v>
      </c>
      <c r="Q2" s="208">
        <v>2.2499999999999999E-2</v>
      </c>
      <c r="R2" s="208">
        <v>0.2</v>
      </c>
      <c r="S2" s="208">
        <v>0.17509727626459143</v>
      </c>
      <c r="T2" s="209"/>
      <c r="U2" s="208"/>
      <c r="V2" s="208">
        <v>0</v>
      </c>
      <c r="W2" s="208">
        <v>0</v>
      </c>
      <c r="X2" s="46"/>
      <c r="Y2" s="208"/>
      <c r="Z2" s="208">
        <v>0</v>
      </c>
      <c r="AA2" s="46" t="s">
        <v>318</v>
      </c>
      <c r="AB2" s="208">
        <v>1.6E-2</v>
      </c>
      <c r="AC2" s="208"/>
      <c r="AD2" s="46"/>
      <c r="AE2" s="208"/>
      <c r="AF2" s="208">
        <v>0</v>
      </c>
      <c r="AG2" s="46"/>
    </row>
    <row r="3" spans="1:33" s="203" customFormat="1" ht="46.15" customHeight="1" x14ac:dyDescent="0.25">
      <c r="A3" s="205" t="s">
        <v>503</v>
      </c>
      <c r="B3" s="206">
        <v>45082</v>
      </c>
      <c r="C3" s="311" t="s">
        <v>467</v>
      </c>
      <c r="D3" s="208">
        <v>0.67160000000000009</v>
      </c>
      <c r="E3" s="208">
        <v>0.8</v>
      </c>
      <c r="F3" s="207" t="s">
        <v>315</v>
      </c>
      <c r="G3" s="208">
        <v>0.16790000000000002</v>
      </c>
      <c r="H3" s="208">
        <v>0.2</v>
      </c>
      <c r="I3" s="207"/>
      <c r="J3" s="208">
        <v>0</v>
      </c>
      <c r="K3" s="208"/>
      <c r="L3" s="209" t="s">
        <v>473</v>
      </c>
      <c r="M3" s="208">
        <v>0.09</v>
      </c>
      <c r="N3" s="208">
        <v>0.8</v>
      </c>
      <c r="O3" s="208">
        <v>0.56074766355140193</v>
      </c>
      <c r="P3" s="209" t="s">
        <v>471</v>
      </c>
      <c r="Q3" s="208">
        <v>2.2499999999999999E-2</v>
      </c>
      <c r="R3" s="208">
        <v>0.2</v>
      </c>
      <c r="S3" s="208">
        <v>0.14018691588785048</v>
      </c>
      <c r="T3" s="209"/>
      <c r="U3" s="208"/>
      <c r="V3" s="208">
        <v>0</v>
      </c>
      <c r="W3" s="208">
        <v>0</v>
      </c>
      <c r="X3" s="46" t="s">
        <v>466</v>
      </c>
      <c r="Y3" s="208">
        <v>3.2000000000000001E-2</v>
      </c>
      <c r="Z3" s="208">
        <v>0.19937694704049846</v>
      </c>
      <c r="AA3" s="46" t="s">
        <v>318</v>
      </c>
      <c r="AB3" s="208">
        <v>1.6E-2</v>
      </c>
      <c r="AC3" s="208"/>
      <c r="AD3" s="46"/>
      <c r="AE3" s="208"/>
      <c r="AF3" s="208">
        <v>0</v>
      </c>
      <c r="AG3" s="46"/>
    </row>
    <row r="4" spans="1:33" s="203" customFormat="1" ht="46.15" customHeight="1" x14ac:dyDescent="0.25">
      <c r="A4" s="205" t="s">
        <v>502</v>
      </c>
      <c r="B4" s="206">
        <v>45082</v>
      </c>
      <c r="C4" s="311" t="s">
        <v>467</v>
      </c>
      <c r="D4" s="208">
        <v>0.68</v>
      </c>
      <c r="E4" s="208">
        <v>0.8</v>
      </c>
      <c r="F4" s="207" t="s">
        <v>315</v>
      </c>
      <c r="G4" s="208">
        <v>0.17</v>
      </c>
      <c r="H4" s="208">
        <v>0.2</v>
      </c>
      <c r="I4" s="207"/>
      <c r="J4" s="208">
        <v>0</v>
      </c>
      <c r="K4" s="208"/>
      <c r="L4" s="209" t="s">
        <v>473</v>
      </c>
      <c r="M4" s="208">
        <v>9.6000000000000002E-2</v>
      </c>
      <c r="N4" s="208">
        <v>0.8</v>
      </c>
      <c r="O4" s="208">
        <v>0.64</v>
      </c>
      <c r="P4" s="209" t="s">
        <v>471</v>
      </c>
      <c r="Q4" s="208">
        <v>2.4E-2</v>
      </c>
      <c r="R4" s="208">
        <v>0.2</v>
      </c>
      <c r="S4" s="208">
        <v>0.16</v>
      </c>
      <c r="T4" s="209"/>
      <c r="U4" s="208"/>
      <c r="V4" s="208">
        <v>0</v>
      </c>
      <c r="W4" s="208">
        <v>0</v>
      </c>
      <c r="X4" s="46" t="s">
        <v>466</v>
      </c>
      <c r="Y4" s="208">
        <v>0.03</v>
      </c>
      <c r="Z4" s="208">
        <v>0.2</v>
      </c>
      <c r="AA4" s="46"/>
      <c r="AB4" s="208"/>
      <c r="AC4" s="208"/>
      <c r="AD4" s="46"/>
      <c r="AE4" s="208"/>
      <c r="AF4" s="208">
        <v>0</v>
      </c>
      <c r="AG4" s="46"/>
    </row>
    <row r="5" spans="1:33" s="203" customFormat="1" ht="46.15" customHeight="1" x14ac:dyDescent="0.25">
      <c r="A5" s="205" t="s">
        <v>501</v>
      </c>
      <c r="B5" s="206">
        <v>45071</v>
      </c>
      <c r="C5" s="311" t="s">
        <v>467</v>
      </c>
      <c r="D5" s="208">
        <v>0.68040000000000012</v>
      </c>
      <c r="E5" s="208">
        <v>0.8</v>
      </c>
      <c r="F5" s="207" t="s">
        <v>315</v>
      </c>
      <c r="G5" s="208">
        <v>0.17010000000000003</v>
      </c>
      <c r="H5" s="208">
        <v>0.2</v>
      </c>
      <c r="I5" s="207"/>
      <c r="J5" s="208">
        <v>0</v>
      </c>
      <c r="K5" s="208"/>
      <c r="L5" s="209" t="s">
        <v>473</v>
      </c>
      <c r="M5" s="208">
        <v>0.09</v>
      </c>
      <c r="N5" s="208">
        <v>0.8</v>
      </c>
      <c r="O5" s="208">
        <v>0.60200668896321075</v>
      </c>
      <c r="P5" s="209" t="s">
        <v>471</v>
      </c>
      <c r="Q5" s="208">
        <v>2.2499999999999999E-2</v>
      </c>
      <c r="R5" s="208">
        <v>0.2</v>
      </c>
      <c r="S5" s="208">
        <v>0.15050167224080269</v>
      </c>
      <c r="T5" s="209"/>
      <c r="U5" s="208"/>
      <c r="V5" s="208">
        <v>0</v>
      </c>
      <c r="W5" s="208">
        <v>0</v>
      </c>
      <c r="X5" s="46" t="s">
        <v>466</v>
      </c>
      <c r="Y5" s="208">
        <v>0.03</v>
      </c>
      <c r="Z5" s="208">
        <v>0.20066889632107024</v>
      </c>
      <c r="AA5" s="46" t="s">
        <v>477</v>
      </c>
      <c r="AB5" s="208">
        <v>7.0000000000000001E-3</v>
      </c>
      <c r="AC5" s="208"/>
      <c r="AD5" s="46"/>
      <c r="AE5" s="208"/>
      <c r="AF5" s="208">
        <v>0</v>
      </c>
      <c r="AG5" s="46"/>
    </row>
    <row r="6" spans="1:33" s="203" customFormat="1" ht="46.15" customHeight="1" x14ac:dyDescent="0.25">
      <c r="A6" s="205" t="s">
        <v>500</v>
      </c>
      <c r="B6" s="206">
        <v>45065</v>
      </c>
      <c r="C6" s="311" t="s">
        <v>467</v>
      </c>
      <c r="D6" s="208">
        <v>0.71040000000000003</v>
      </c>
      <c r="E6" s="208">
        <v>0.8</v>
      </c>
      <c r="F6" s="207" t="s">
        <v>315</v>
      </c>
      <c r="G6" s="208">
        <v>0.17760000000000001</v>
      </c>
      <c r="H6" s="208">
        <v>0.2</v>
      </c>
      <c r="I6" s="207"/>
      <c r="J6" s="208">
        <v>0</v>
      </c>
      <c r="K6" s="208"/>
      <c r="L6" s="209" t="s">
        <v>473</v>
      </c>
      <c r="M6" s="208">
        <v>0.09</v>
      </c>
      <c r="N6" s="208">
        <v>1</v>
      </c>
      <c r="O6" s="208">
        <v>0.8035714285714286</v>
      </c>
      <c r="P6" s="209"/>
      <c r="Q6" s="208"/>
      <c r="R6" s="208">
        <v>0</v>
      </c>
      <c r="S6" s="208">
        <v>0</v>
      </c>
      <c r="T6" s="209"/>
      <c r="U6" s="208"/>
      <c r="V6" s="208">
        <v>0</v>
      </c>
      <c r="W6" s="208">
        <v>0</v>
      </c>
      <c r="X6" s="46" t="s">
        <v>466</v>
      </c>
      <c r="Y6" s="208">
        <v>2.1999999999999999E-2</v>
      </c>
      <c r="Z6" s="208">
        <v>0.19642857142857142</v>
      </c>
      <c r="AA6" s="46"/>
      <c r="AB6" s="208"/>
      <c r="AC6" s="208"/>
      <c r="AD6" s="46"/>
      <c r="AE6" s="208"/>
      <c r="AF6" s="208">
        <v>0</v>
      </c>
      <c r="AG6" s="46"/>
    </row>
    <row r="7" spans="1:33" s="203" customFormat="1" ht="46.15" customHeight="1" x14ac:dyDescent="0.25">
      <c r="A7" s="205" t="s">
        <v>499</v>
      </c>
      <c r="B7" s="206">
        <v>45065</v>
      </c>
      <c r="C7" s="311" t="s">
        <v>467</v>
      </c>
      <c r="D7" s="208">
        <v>0.6976</v>
      </c>
      <c r="E7" s="208">
        <v>0.8</v>
      </c>
      <c r="F7" s="207" t="s">
        <v>315</v>
      </c>
      <c r="G7" s="208">
        <v>0.1744</v>
      </c>
      <c r="H7" s="208">
        <v>0.2</v>
      </c>
      <c r="I7" s="207"/>
      <c r="J7" s="208">
        <v>0</v>
      </c>
      <c r="K7" s="208"/>
      <c r="L7" s="209" t="s">
        <v>473</v>
      </c>
      <c r="M7" s="208">
        <v>0.09</v>
      </c>
      <c r="N7" s="208">
        <v>1</v>
      </c>
      <c r="O7" s="208">
        <v>0.703125</v>
      </c>
      <c r="P7" s="209"/>
      <c r="Q7" s="208"/>
      <c r="R7" s="208">
        <v>0</v>
      </c>
      <c r="S7" s="208">
        <v>0</v>
      </c>
      <c r="T7" s="209"/>
      <c r="U7" s="208"/>
      <c r="V7" s="208">
        <v>0</v>
      </c>
      <c r="W7" s="208">
        <v>0</v>
      </c>
      <c r="X7" s="46" t="s">
        <v>318</v>
      </c>
      <c r="Y7" s="208">
        <v>1.2999999999999999E-2</v>
      </c>
      <c r="Z7" s="208">
        <v>0.1015625</v>
      </c>
      <c r="AA7" s="46" t="s">
        <v>466</v>
      </c>
      <c r="AB7" s="208">
        <v>2.5000000000000001E-2</v>
      </c>
      <c r="AC7" s="208"/>
      <c r="AD7" s="46"/>
      <c r="AE7" s="208"/>
      <c r="AF7" s="208">
        <v>0</v>
      </c>
      <c r="AG7" s="46"/>
    </row>
    <row r="8" spans="1:33" s="203" customFormat="1" ht="46.15" customHeight="1" x14ac:dyDescent="0.25">
      <c r="A8" s="205" t="s">
        <v>498</v>
      </c>
      <c r="B8" s="206">
        <v>45065</v>
      </c>
      <c r="C8" s="311" t="s">
        <v>467</v>
      </c>
      <c r="D8" s="208">
        <v>0.67160000000000009</v>
      </c>
      <c r="E8" s="208">
        <v>0.8</v>
      </c>
      <c r="F8" s="207" t="s">
        <v>315</v>
      </c>
      <c r="G8" s="208">
        <v>0.16790000000000002</v>
      </c>
      <c r="H8" s="208">
        <v>0.2</v>
      </c>
      <c r="I8" s="207"/>
      <c r="J8" s="208">
        <v>0</v>
      </c>
      <c r="K8" s="208"/>
      <c r="L8" s="209" t="s">
        <v>473</v>
      </c>
      <c r="M8" s="208">
        <v>0.09</v>
      </c>
      <c r="N8" s="208">
        <v>0.8</v>
      </c>
      <c r="O8" s="208">
        <v>0.56074766355140182</v>
      </c>
      <c r="P8" s="209" t="s">
        <v>476</v>
      </c>
      <c r="Q8" s="208">
        <v>2.2499999999999999E-2</v>
      </c>
      <c r="R8" s="208">
        <v>0.2</v>
      </c>
      <c r="S8" s="208">
        <v>0.14018691588785046</v>
      </c>
      <c r="T8" s="209"/>
      <c r="U8" s="208"/>
      <c r="V8" s="208">
        <v>0</v>
      </c>
      <c r="W8" s="208">
        <v>0</v>
      </c>
      <c r="X8" s="46" t="s">
        <v>318</v>
      </c>
      <c r="Y8" s="208">
        <v>1.6E-2</v>
      </c>
      <c r="Z8" s="208">
        <v>9.9688473520249218E-2</v>
      </c>
      <c r="AA8" s="46" t="s">
        <v>466</v>
      </c>
      <c r="AB8" s="208">
        <v>3.2000000000000001E-2</v>
      </c>
      <c r="AC8" s="208"/>
      <c r="AD8" s="46"/>
      <c r="AE8" s="208"/>
      <c r="AF8" s="208">
        <v>0</v>
      </c>
      <c r="AG8" s="46"/>
    </row>
    <row r="9" spans="1:33" s="203" customFormat="1" ht="46.15" customHeight="1" x14ac:dyDescent="0.25">
      <c r="A9" s="205" t="s">
        <v>497</v>
      </c>
      <c r="B9" s="206">
        <v>45061</v>
      </c>
      <c r="C9" s="311" t="s">
        <v>467</v>
      </c>
      <c r="D9" s="208">
        <v>0.75555000000000005</v>
      </c>
      <c r="E9" s="208">
        <v>0.9</v>
      </c>
      <c r="F9" s="207" t="s">
        <v>315</v>
      </c>
      <c r="G9" s="208">
        <v>8.3950000000000011E-2</v>
      </c>
      <c r="H9" s="208">
        <v>0.1</v>
      </c>
      <c r="I9" s="207"/>
      <c r="J9" s="208">
        <v>0</v>
      </c>
      <c r="K9" s="208"/>
      <c r="L9" s="209" t="s">
        <v>475</v>
      </c>
      <c r="M9" s="208">
        <v>0.09</v>
      </c>
      <c r="N9" s="208">
        <v>0.8</v>
      </c>
      <c r="O9" s="208">
        <v>0.56074766355140182</v>
      </c>
      <c r="P9" s="209" t="s">
        <v>471</v>
      </c>
      <c r="Q9" s="208">
        <v>2.2499999999999999E-2</v>
      </c>
      <c r="R9" s="208">
        <v>0.2</v>
      </c>
      <c r="S9" s="208">
        <v>0.14018691588785046</v>
      </c>
      <c r="T9" s="209"/>
      <c r="U9" s="208"/>
      <c r="V9" s="208">
        <v>0</v>
      </c>
      <c r="W9" s="208">
        <v>0</v>
      </c>
      <c r="X9" s="46" t="s">
        <v>318</v>
      </c>
      <c r="Y9" s="208">
        <v>1.6E-2</v>
      </c>
      <c r="Z9" s="208">
        <v>9.9688473520249218E-2</v>
      </c>
      <c r="AA9" s="46" t="s">
        <v>466</v>
      </c>
      <c r="AB9" s="208">
        <v>3.2000000000000001E-2</v>
      </c>
      <c r="AC9" s="208"/>
      <c r="AD9" s="46"/>
      <c r="AE9" s="208"/>
      <c r="AF9" s="208">
        <v>0</v>
      </c>
      <c r="AG9" s="46"/>
    </row>
    <row r="10" spans="1:33" s="203" customFormat="1" ht="46.15" customHeight="1" x14ac:dyDescent="0.25">
      <c r="A10" s="205" t="s">
        <v>496</v>
      </c>
      <c r="B10" s="206">
        <v>45061</v>
      </c>
      <c r="C10" s="311" t="s">
        <v>467</v>
      </c>
      <c r="D10" s="208">
        <v>0.67160000000000009</v>
      </c>
      <c r="E10" s="208">
        <v>0.8</v>
      </c>
      <c r="F10" s="207" t="s">
        <v>315</v>
      </c>
      <c r="G10" s="208">
        <v>0.16790000000000002</v>
      </c>
      <c r="H10" s="208">
        <v>0.2</v>
      </c>
      <c r="I10" s="207"/>
      <c r="J10" s="208">
        <v>0</v>
      </c>
      <c r="K10" s="208"/>
      <c r="L10" s="209" t="s">
        <v>475</v>
      </c>
      <c r="M10" s="208">
        <v>0.09</v>
      </c>
      <c r="N10" s="208">
        <v>0.8</v>
      </c>
      <c r="O10" s="208">
        <v>0.56074766355140182</v>
      </c>
      <c r="P10" s="209" t="s">
        <v>471</v>
      </c>
      <c r="Q10" s="208">
        <v>2.2499999999999999E-2</v>
      </c>
      <c r="R10" s="208">
        <v>0.2</v>
      </c>
      <c r="S10" s="208">
        <v>0.14018691588785046</v>
      </c>
      <c r="T10" s="209"/>
      <c r="U10" s="208"/>
      <c r="V10" s="208">
        <v>0</v>
      </c>
      <c r="W10" s="208">
        <v>0</v>
      </c>
      <c r="X10" s="46" t="s">
        <v>318</v>
      </c>
      <c r="Y10" s="208">
        <v>1.6E-2</v>
      </c>
      <c r="Z10" s="208">
        <v>9.9688473520249218E-2</v>
      </c>
      <c r="AA10" s="46" t="s">
        <v>466</v>
      </c>
      <c r="AB10" s="208">
        <v>3.2000000000000001E-2</v>
      </c>
      <c r="AC10" s="208"/>
      <c r="AD10" s="46"/>
      <c r="AE10" s="208"/>
      <c r="AF10" s="208">
        <v>0</v>
      </c>
      <c r="AG10" s="46"/>
    </row>
    <row r="11" spans="1:33" s="203" customFormat="1" ht="46.15" customHeight="1" x14ac:dyDescent="0.25">
      <c r="A11" s="205" t="s">
        <v>495</v>
      </c>
      <c r="B11" s="206">
        <v>45139</v>
      </c>
      <c r="C11" s="311" t="s">
        <v>467</v>
      </c>
      <c r="D11" s="208">
        <v>0.67120000000000002</v>
      </c>
      <c r="E11" s="208">
        <v>0.8</v>
      </c>
      <c r="F11" s="207" t="s">
        <v>315</v>
      </c>
      <c r="G11" s="208">
        <v>0.1678</v>
      </c>
      <c r="H11" s="208">
        <v>0.2</v>
      </c>
      <c r="I11" s="207"/>
      <c r="J11" s="208">
        <v>0</v>
      </c>
      <c r="K11" s="208"/>
      <c r="L11" s="209" t="s">
        <v>473</v>
      </c>
      <c r="M11" s="208">
        <v>0.08</v>
      </c>
      <c r="N11" s="208">
        <v>0.79999999999999993</v>
      </c>
      <c r="O11" s="208">
        <v>0.49689440993788819</v>
      </c>
      <c r="P11" s="209" t="s">
        <v>471</v>
      </c>
      <c r="Q11" s="208">
        <v>0.02</v>
      </c>
      <c r="R11" s="208">
        <v>0.19999999999999998</v>
      </c>
      <c r="S11" s="208">
        <v>0.12422360248447205</v>
      </c>
      <c r="T11" s="209"/>
      <c r="U11" s="208"/>
      <c r="V11" s="208">
        <v>0</v>
      </c>
      <c r="W11" s="208">
        <v>0</v>
      </c>
      <c r="X11" s="46" t="s">
        <v>318</v>
      </c>
      <c r="Y11" s="208">
        <v>1.7500000000000002E-2</v>
      </c>
      <c r="Z11" s="208">
        <v>0.10869565217391305</v>
      </c>
      <c r="AA11" s="46" t="s">
        <v>466</v>
      </c>
      <c r="AB11" s="208">
        <v>4.3499999999999997E-2</v>
      </c>
      <c r="AC11" s="208"/>
      <c r="AD11" s="46"/>
      <c r="AE11" s="208"/>
      <c r="AF11" s="208">
        <v>0</v>
      </c>
      <c r="AG11" s="46"/>
    </row>
    <row r="12" spans="1:33" s="203" customFormat="1" ht="46.15" customHeight="1" x14ac:dyDescent="0.25">
      <c r="A12" s="205" t="s">
        <v>493</v>
      </c>
      <c r="B12" s="206">
        <v>45139</v>
      </c>
      <c r="C12" s="311" t="s">
        <v>331</v>
      </c>
      <c r="D12" s="208">
        <v>0.75992000000000004</v>
      </c>
      <c r="E12" s="208">
        <v>0.92</v>
      </c>
      <c r="F12" s="207" t="s">
        <v>470</v>
      </c>
      <c r="G12" s="208">
        <v>6.608E-2</v>
      </c>
      <c r="H12" s="208">
        <v>0.08</v>
      </c>
      <c r="I12" s="207"/>
      <c r="J12" s="208">
        <v>0</v>
      </c>
      <c r="K12" s="208"/>
      <c r="L12" s="209" t="s">
        <v>465</v>
      </c>
      <c r="M12" s="208">
        <v>0.1225</v>
      </c>
      <c r="N12" s="208">
        <v>0.80327868852459017</v>
      </c>
      <c r="O12" s="208">
        <v>0.70402298850574718</v>
      </c>
      <c r="P12" s="209" t="s">
        <v>471</v>
      </c>
      <c r="Q12" s="208">
        <v>0.03</v>
      </c>
      <c r="R12" s="208">
        <v>0.19672131147540983</v>
      </c>
      <c r="S12" s="208">
        <v>0.17241379310344829</v>
      </c>
      <c r="T12" s="209"/>
      <c r="U12" s="208"/>
      <c r="V12" s="208">
        <v>0</v>
      </c>
      <c r="W12" s="208">
        <v>0</v>
      </c>
      <c r="X12" s="46" t="s">
        <v>318</v>
      </c>
      <c r="Y12" s="208">
        <v>1.5E-3</v>
      </c>
      <c r="Z12" s="208">
        <v>8.6206896551724154E-3</v>
      </c>
      <c r="AA12" s="46" t="s">
        <v>466</v>
      </c>
      <c r="AB12" s="208">
        <v>0.02</v>
      </c>
      <c r="AC12" s="208"/>
      <c r="AD12" s="46"/>
      <c r="AE12" s="208"/>
      <c r="AF12" s="208">
        <v>0</v>
      </c>
      <c r="AG12" s="46" t="s">
        <v>494</v>
      </c>
    </row>
    <row r="13" spans="1:33" s="203" customFormat="1" ht="46.15" customHeight="1" x14ac:dyDescent="0.25">
      <c r="A13" s="205" t="s">
        <v>492</v>
      </c>
      <c r="B13" s="206">
        <v>45139</v>
      </c>
      <c r="C13" s="311" t="s">
        <v>467</v>
      </c>
      <c r="D13" s="208">
        <v>0.67160000000000009</v>
      </c>
      <c r="E13" s="208">
        <v>0.8</v>
      </c>
      <c r="F13" s="207" t="s">
        <v>315</v>
      </c>
      <c r="G13" s="208">
        <v>0.16790000000000002</v>
      </c>
      <c r="H13" s="208">
        <v>0.2</v>
      </c>
      <c r="I13" s="207"/>
      <c r="J13" s="208">
        <v>0</v>
      </c>
      <c r="K13" s="208"/>
      <c r="L13" s="209" t="s">
        <v>474</v>
      </c>
      <c r="M13" s="208">
        <v>0.09</v>
      </c>
      <c r="N13" s="208">
        <v>0.8</v>
      </c>
      <c r="O13" s="208">
        <v>0.56074766355140182</v>
      </c>
      <c r="P13" s="209" t="s">
        <v>471</v>
      </c>
      <c r="Q13" s="208">
        <v>2.2499999999999999E-2</v>
      </c>
      <c r="R13" s="208">
        <v>0.2</v>
      </c>
      <c r="S13" s="208">
        <v>0.14018691588785046</v>
      </c>
      <c r="T13" s="209"/>
      <c r="U13" s="208"/>
      <c r="V13" s="208">
        <v>0</v>
      </c>
      <c r="W13" s="208">
        <v>0</v>
      </c>
      <c r="X13" s="46" t="s">
        <v>318</v>
      </c>
      <c r="Y13" s="208">
        <v>1.6E-2</v>
      </c>
      <c r="Z13" s="208">
        <v>9.9688473520249218E-2</v>
      </c>
      <c r="AA13" s="46" t="s">
        <v>466</v>
      </c>
      <c r="AB13" s="208">
        <v>3.2000000000000001E-2</v>
      </c>
      <c r="AC13" s="208"/>
      <c r="AD13" s="46"/>
      <c r="AE13" s="208"/>
      <c r="AF13" s="208">
        <v>0</v>
      </c>
      <c r="AG13" s="46"/>
    </row>
    <row r="14" spans="1:33" s="203" customFormat="1" ht="46.15" customHeight="1" x14ac:dyDescent="0.25">
      <c r="A14" s="205" t="s">
        <v>491</v>
      </c>
      <c r="B14" s="206">
        <v>45139</v>
      </c>
      <c r="C14" s="311" t="s">
        <v>467</v>
      </c>
      <c r="D14" s="208">
        <v>0.64124999999999999</v>
      </c>
      <c r="E14" s="208">
        <v>0.75</v>
      </c>
      <c r="F14" s="207" t="s">
        <v>315</v>
      </c>
      <c r="G14" s="208">
        <v>0.21375</v>
      </c>
      <c r="H14" s="208">
        <v>0.25</v>
      </c>
      <c r="I14" s="207"/>
      <c r="J14" s="208">
        <v>0</v>
      </c>
      <c r="K14" s="208"/>
      <c r="L14" s="209" t="s">
        <v>474</v>
      </c>
      <c r="M14" s="208">
        <v>0.08</v>
      </c>
      <c r="N14" s="208">
        <v>0.79999999999999993</v>
      </c>
      <c r="O14" s="208">
        <v>0.55172413793103448</v>
      </c>
      <c r="P14" s="209" t="s">
        <v>471</v>
      </c>
      <c r="Q14" s="208">
        <v>0.02</v>
      </c>
      <c r="R14" s="208">
        <v>0.19999999999999998</v>
      </c>
      <c r="S14" s="208">
        <v>0.13793103448275862</v>
      </c>
      <c r="T14" s="209"/>
      <c r="U14" s="208"/>
      <c r="V14" s="208">
        <v>0</v>
      </c>
      <c r="W14" s="208">
        <v>0</v>
      </c>
      <c r="X14" s="46" t="s">
        <v>318</v>
      </c>
      <c r="Y14" s="208">
        <v>1.55E-2</v>
      </c>
      <c r="Z14" s="208">
        <v>0.10689655172413792</v>
      </c>
      <c r="AA14" s="46" t="s">
        <v>466</v>
      </c>
      <c r="AB14" s="208">
        <v>2.9499999999999998E-2</v>
      </c>
      <c r="AC14" s="208"/>
      <c r="AD14" s="46"/>
      <c r="AE14" s="208"/>
      <c r="AF14" s="208">
        <v>0</v>
      </c>
      <c r="AG14" s="46"/>
    </row>
    <row r="15" spans="1:33" s="203" customFormat="1" ht="46.15" customHeight="1" x14ac:dyDescent="0.25">
      <c r="A15" s="205" t="s">
        <v>490</v>
      </c>
      <c r="B15" s="206">
        <v>45139</v>
      </c>
      <c r="C15" s="311" t="s">
        <v>467</v>
      </c>
      <c r="D15" s="208">
        <v>0.67160000000000009</v>
      </c>
      <c r="E15" s="208">
        <v>0.8</v>
      </c>
      <c r="F15" s="207" t="s">
        <v>315</v>
      </c>
      <c r="G15" s="208">
        <v>0.16790000000000002</v>
      </c>
      <c r="H15" s="208">
        <v>0.2</v>
      </c>
      <c r="I15" s="207"/>
      <c r="J15" s="208">
        <v>0</v>
      </c>
      <c r="K15" s="208"/>
      <c r="L15" s="209" t="s">
        <v>473</v>
      </c>
      <c r="M15" s="208">
        <v>0.09</v>
      </c>
      <c r="N15" s="208">
        <v>0.8</v>
      </c>
      <c r="O15" s="208">
        <v>0.56074766355140182</v>
      </c>
      <c r="P15" s="209" t="s">
        <v>471</v>
      </c>
      <c r="Q15" s="208">
        <v>2.2499999999999999E-2</v>
      </c>
      <c r="R15" s="208">
        <v>0.2</v>
      </c>
      <c r="S15" s="208">
        <v>0.14018691588785046</v>
      </c>
      <c r="T15" s="209"/>
      <c r="U15" s="208"/>
      <c r="V15" s="208">
        <v>0</v>
      </c>
      <c r="W15" s="208">
        <v>0</v>
      </c>
      <c r="X15" s="46" t="s">
        <v>318</v>
      </c>
      <c r="Y15" s="208">
        <v>1.6E-2</v>
      </c>
      <c r="Z15" s="208">
        <v>9.9688473520249218E-2</v>
      </c>
      <c r="AA15" s="46" t="s">
        <v>466</v>
      </c>
      <c r="AB15" s="208">
        <v>3.2000000000000001E-2</v>
      </c>
      <c r="AC15" s="208"/>
      <c r="AD15" s="46"/>
      <c r="AE15" s="208"/>
      <c r="AF15" s="208">
        <v>0</v>
      </c>
      <c r="AG15" s="46"/>
    </row>
    <row r="16" spans="1:33" s="203" customFormat="1" ht="46.15" customHeight="1" x14ac:dyDescent="0.25">
      <c r="A16" s="205" t="s">
        <v>489</v>
      </c>
      <c r="B16" s="206">
        <v>45139</v>
      </c>
      <c r="C16" s="311" t="s">
        <v>331</v>
      </c>
      <c r="D16" s="208">
        <v>0.78659999999999997</v>
      </c>
      <c r="E16" s="208">
        <v>0.92</v>
      </c>
      <c r="F16" s="207" t="s">
        <v>470</v>
      </c>
      <c r="G16" s="208">
        <v>6.8400000000000002E-2</v>
      </c>
      <c r="H16" s="208">
        <v>0.08</v>
      </c>
      <c r="I16" s="207"/>
      <c r="J16" s="208">
        <v>0</v>
      </c>
      <c r="K16" s="208"/>
      <c r="L16" s="209" t="s">
        <v>312</v>
      </c>
      <c r="M16" s="208">
        <v>7.4999999999999997E-3</v>
      </c>
      <c r="N16" s="208">
        <v>5.8365758754863807E-2</v>
      </c>
      <c r="O16" s="208">
        <v>5.1724137931034475E-2</v>
      </c>
      <c r="P16" s="209"/>
      <c r="Q16" s="208"/>
      <c r="R16" s="208">
        <v>0</v>
      </c>
      <c r="S16" s="208">
        <v>0</v>
      </c>
      <c r="T16" s="209" t="s">
        <v>465</v>
      </c>
      <c r="U16" s="208">
        <v>0.121</v>
      </c>
      <c r="V16" s="208">
        <v>0.94163424124513617</v>
      </c>
      <c r="W16" s="208">
        <v>0.83448275862068955</v>
      </c>
      <c r="X16" s="46" t="s">
        <v>318</v>
      </c>
      <c r="Y16" s="208">
        <v>1.5E-3</v>
      </c>
      <c r="Z16" s="208">
        <v>1.0344827586206895E-2</v>
      </c>
      <c r="AA16" s="46" t="s">
        <v>466</v>
      </c>
      <c r="AB16" s="208">
        <v>1.4999999999999999E-2</v>
      </c>
      <c r="AC16" s="208"/>
      <c r="AD16" s="46"/>
      <c r="AE16" s="208"/>
      <c r="AF16" s="208">
        <v>0</v>
      </c>
      <c r="AG16" s="46" t="s">
        <v>482</v>
      </c>
    </row>
    <row r="17" spans="1:33" s="203" customFormat="1" ht="46.15" customHeight="1" x14ac:dyDescent="0.25">
      <c r="A17" s="205" t="s">
        <v>488</v>
      </c>
      <c r="B17" s="206">
        <v>45139</v>
      </c>
      <c r="C17" s="311" t="s">
        <v>331</v>
      </c>
      <c r="D17" s="208">
        <v>0.78659999999999997</v>
      </c>
      <c r="E17" s="208">
        <v>0.92</v>
      </c>
      <c r="F17" s="207" t="s">
        <v>470</v>
      </c>
      <c r="G17" s="208">
        <v>6.8400000000000002E-2</v>
      </c>
      <c r="H17" s="208">
        <v>0.08</v>
      </c>
      <c r="I17" s="207"/>
      <c r="J17" s="208">
        <v>0</v>
      </c>
      <c r="K17" s="208"/>
      <c r="L17" s="209" t="s">
        <v>312</v>
      </c>
      <c r="M17" s="208">
        <v>7.4999999999999997E-3</v>
      </c>
      <c r="N17" s="208">
        <v>5.1724137931034475E-2</v>
      </c>
      <c r="O17" s="208">
        <v>5.1724137931034482E-2</v>
      </c>
      <c r="P17" s="209" t="s">
        <v>466</v>
      </c>
      <c r="Q17" s="208">
        <v>1.4999999999999999E-2</v>
      </c>
      <c r="R17" s="208">
        <v>0.10344827586206895</v>
      </c>
      <c r="S17" s="208">
        <v>0.10344827586206896</v>
      </c>
      <c r="T17" s="209" t="s">
        <v>465</v>
      </c>
      <c r="U17" s="208">
        <v>0.1225</v>
      </c>
      <c r="V17" s="208">
        <v>0.84482758620689646</v>
      </c>
      <c r="W17" s="208">
        <v>0.84482758620689657</v>
      </c>
      <c r="X17" s="46"/>
      <c r="Y17" s="208"/>
      <c r="Z17" s="208">
        <v>0</v>
      </c>
      <c r="AA17" s="46"/>
      <c r="AB17" s="208"/>
      <c r="AC17" s="208"/>
      <c r="AD17" s="46"/>
      <c r="AE17" s="208"/>
      <c r="AF17" s="208">
        <v>0</v>
      </c>
      <c r="AG17" s="46" t="s">
        <v>482</v>
      </c>
    </row>
    <row r="18" spans="1:33" s="203" customFormat="1" ht="46.15" customHeight="1" x14ac:dyDescent="0.25">
      <c r="A18" s="205" t="s">
        <v>487</v>
      </c>
      <c r="B18" s="206">
        <v>45139</v>
      </c>
      <c r="C18" s="311" t="s">
        <v>331</v>
      </c>
      <c r="D18" s="208">
        <v>0.78659999999999997</v>
      </c>
      <c r="E18" s="208">
        <v>0.92</v>
      </c>
      <c r="F18" s="207" t="s">
        <v>470</v>
      </c>
      <c r="G18" s="208">
        <v>6.8400000000000002E-2</v>
      </c>
      <c r="H18" s="208">
        <v>0.08</v>
      </c>
      <c r="I18" s="207"/>
      <c r="J18" s="208">
        <v>0</v>
      </c>
      <c r="K18" s="208"/>
      <c r="L18" s="209" t="s">
        <v>312</v>
      </c>
      <c r="M18" s="208">
        <v>7.4999999999999997E-3</v>
      </c>
      <c r="N18" s="208">
        <v>5.1724137931034475E-2</v>
      </c>
      <c r="O18" s="208">
        <v>5.1724137931034475E-2</v>
      </c>
      <c r="P18" s="209" t="s">
        <v>466</v>
      </c>
      <c r="Q18" s="208"/>
      <c r="R18" s="208">
        <v>0</v>
      </c>
      <c r="S18" s="208">
        <v>0</v>
      </c>
      <c r="T18" s="209" t="s">
        <v>465</v>
      </c>
      <c r="U18" s="208">
        <v>0.13750000000000001</v>
      </c>
      <c r="V18" s="208">
        <v>0.94827586206896552</v>
      </c>
      <c r="W18" s="208">
        <v>0.94827586206896552</v>
      </c>
      <c r="X18" s="46"/>
      <c r="Y18" s="208"/>
      <c r="Z18" s="208">
        <v>0</v>
      </c>
      <c r="AA18" s="46"/>
      <c r="AB18" s="208"/>
      <c r="AC18" s="208"/>
      <c r="AD18" s="46"/>
      <c r="AE18" s="208"/>
      <c r="AF18" s="208">
        <v>0</v>
      </c>
      <c r="AG18" s="46" t="s">
        <v>482</v>
      </c>
    </row>
    <row r="19" spans="1:33" s="203" customFormat="1" ht="46.15" customHeight="1" x14ac:dyDescent="0.25">
      <c r="A19" s="205" t="s">
        <v>485</v>
      </c>
      <c r="B19" s="206">
        <v>45139</v>
      </c>
      <c r="C19" s="311" t="s">
        <v>467</v>
      </c>
      <c r="D19" s="208">
        <v>0.64000000000000012</v>
      </c>
      <c r="E19" s="208">
        <v>0.8</v>
      </c>
      <c r="F19" s="207" t="s">
        <v>468</v>
      </c>
      <c r="G19" s="208">
        <v>0.16000000000000003</v>
      </c>
      <c r="H19" s="208">
        <v>0.2</v>
      </c>
      <c r="I19" s="207"/>
      <c r="J19" s="208">
        <v>0</v>
      </c>
      <c r="K19" s="208"/>
      <c r="L19" s="209" t="s">
        <v>469</v>
      </c>
      <c r="M19" s="208">
        <v>0.18</v>
      </c>
      <c r="N19" s="208">
        <v>0.9</v>
      </c>
      <c r="O19" s="208">
        <v>0.9</v>
      </c>
      <c r="P19" s="209" t="s">
        <v>466</v>
      </c>
      <c r="Q19" s="208">
        <v>0.02</v>
      </c>
      <c r="R19" s="208">
        <v>0.1</v>
      </c>
      <c r="S19" s="208">
        <v>0.1</v>
      </c>
      <c r="T19" s="209"/>
      <c r="U19" s="208"/>
      <c r="V19" s="208">
        <v>0</v>
      </c>
      <c r="W19" s="208">
        <v>0</v>
      </c>
      <c r="X19" s="46"/>
      <c r="Y19" s="208"/>
      <c r="Z19" s="208">
        <v>0</v>
      </c>
      <c r="AA19" s="46"/>
      <c r="AB19" s="208"/>
      <c r="AC19" s="208"/>
      <c r="AD19" s="46"/>
      <c r="AE19" s="208"/>
      <c r="AF19" s="208">
        <v>0</v>
      </c>
      <c r="AG19" s="46" t="s">
        <v>486</v>
      </c>
    </row>
    <row r="20" spans="1:33" s="203" customFormat="1" ht="46.15" customHeight="1" x14ac:dyDescent="0.25">
      <c r="A20" s="205" t="s">
        <v>483</v>
      </c>
      <c r="B20" s="206">
        <v>45139</v>
      </c>
      <c r="C20" s="311" t="s">
        <v>331</v>
      </c>
      <c r="D20" s="208">
        <v>0.75108000000000008</v>
      </c>
      <c r="E20" s="208">
        <v>0.88</v>
      </c>
      <c r="F20" s="207" t="s">
        <v>470</v>
      </c>
      <c r="G20" s="208">
        <v>0.10242</v>
      </c>
      <c r="H20" s="208">
        <v>0.12</v>
      </c>
      <c r="I20" s="207"/>
      <c r="J20" s="208">
        <v>0</v>
      </c>
      <c r="K20" s="208"/>
      <c r="L20" s="209" t="s">
        <v>312</v>
      </c>
      <c r="M20" s="208">
        <v>7.4999999999999997E-3</v>
      </c>
      <c r="N20" s="208">
        <v>5.1724137931034475E-2</v>
      </c>
      <c r="O20" s="208">
        <v>5.1194539249146756E-2</v>
      </c>
      <c r="P20" s="209" t="s">
        <v>466</v>
      </c>
      <c r="Q20" s="208">
        <v>1.4999999999999999E-2</v>
      </c>
      <c r="R20" s="208">
        <v>0.10344827586206895</v>
      </c>
      <c r="S20" s="208">
        <v>0.10238907849829351</v>
      </c>
      <c r="T20" s="209" t="s">
        <v>465</v>
      </c>
      <c r="U20" s="208">
        <v>0.1225</v>
      </c>
      <c r="V20" s="208">
        <v>0.84482758620689646</v>
      </c>
      <c r="W20" s="208">
        <v>0.83617747440273038</v>
      </c>
      <c r="X20" s="46" t="s">
        <v>318</v>
      </c>
      <c r="Y20" s="208">
        <v>1.5E-3</v>
      </c>
      <c r="Z20" s="208">
        <v>1.0238907849829353E-2</v>
      </c>
      <c r="AA20" s="46"/>
      <c r="AB20" s="208"/>
      <c r="AC20" s="208"/>
      <c r="AD20" s="46"/>
      <c r="AE20" s="208"/>
      <c r="AF20" s="208">
        <v>0</v>
      </c>
      <c r="AG20" s="46" t="s">
        <v>484</v>
      </c>
    </row>
    <row r="21" spans="1:33" s="203" customFormat="1" ht="46.15" customHeight="1" x14ac:dyDescent="0.25">
      <c r="A21" s="205" t="s">
        <v>481</v>
      </c>
      <c r="B21" s="206">
        <v>45139</v>
      </c>
      <c r="C21" s="311" t="s">
        <v>331</v>
      </c>
      <c r="D21" s="208">
        <v>0.75239999999999996</v>
      </c>
      <c r="E21" s="208">
        <v>0.88</v>
      </c>
      <c r="F21" s="207" t="s">
        <v>470</v>
      </c>
      <c r="G21" s="208">
        <v>0.1026</v>
      </c>
      <c r="H21" s="208">
        <v>0.12</v>
      </c>
      <c r="I21" s="207"/>
      <c r="J21" s="208">
        <v>0</v>
      </c>
      <c r="K21" s="208"/>
      <c r="L21" s="209" t="s">
        <v>312</v>
      </c>
      <c r="M21" s="208">
        <v>7.4999999999999997E-3</v>
      </c>
      <c r="N21" s="208">
        <v>5.1724137931034475E-2</v>
      </c>
      <c r="O21" s="208">
        <v>5.1724137931034482E-2</v>
      </c>
      <c r="P21" s="209" t="s">
        <v>466</v>
      </c>
      <c r="Q21" s="208">
        <v>1.4999999999999999E-2</v>
      </c>
      <c r="R21" s="208">
        <v>0.10344827586206895</v>
      </c>
      <c r="S21" s="208">
        <v>0.10344827586206896</v>
      </c>
      <c r="T21" s="209" t="s">
        <v>465</v>
      </c>
      <c r="U21" s="208">
        <v>0.1225</v>
      </c>
      <c r="V21" s="208">
        <v>0.84482758620689646</v>
      </c>
      <c r="W21" s="208">
        <v>0.84482758620689657</v>
      </c>
      <c r="X21" s="46"/>
      <c r="Y21" s="208"/>
      <c r="Z21" s="208">
        <v>0</v>
      </c>
      <c r="AA21" s="46"/>
      <c r="AB21" s="208"/>
      <c r="AC21" s="208"/>
      <c r="AD21" s="46"/>
      <c r="AE21" s="208"/>
      <c r="AF21" s="208">
        <v>0</v>
      </c>
      <c r="AG21" s="46" t="s">
        <v>482</v>
      </c>
    </row>
    <row r="22" spans="1:33" s="203" customFormat="1" ht="46.15" customHeight="1" x14ac:dyDescent="0.25">
      <c r="A22" s="205"/>
      <c r="B22" s="206"/>
      <c r="C22" s="311"/>
      <c r="D22" s="208"/>
      <c r="E22" s="208"/>
      <c r="F22" s="207"/>
      <c r="G22" s="208"/>
      <c r="H22" s="208"/>
      <c r="I22" s="207"/>
      <c r="J22" s="208"/>
      <c r="K22" s="208"/>
      <c r="L22" s="209"/>
      <c r="M22" s="208"/>
      <c r="N22" s="208"/>
      <c r="O22" s="208"/>
      <c r="P22" s="209"/>
      <c r="Q22" s="208"/>
      <c r="R22" s="208"/>
      <c r="S22" s="208"/>
      <c r="T22" s="209"/>
      <c r="U22" s="208"/>
      <c r="V22" s="208"/>
      <c r="W22" s="208"/>
      <c r="X22" s="46"/>
      <c r="Y22" s="208"/>
      <c r="Z22" s="208"/>
      <c r="AA22" s="46"/>
      <c r="AB22" s="208"/>
      <c r="AC22" s="208"/>
      <c r="AD22" s="46"/>
      <c r="AE22" s="208"/>
      <c r="AF22" s="208"/>
      <c r="AG22" s="46"/>
    </row>
    <row r="23" spans="1:33" s="203" customFormat="1" ht="46.15" customHeight="1" x14ac:dyDescent="0.25">
      <c r="A23" s="205"/>
      <c r="B23" s="206"/>
      <c r="C23" s="311"/>
      <c r="D23" s="208"/>
      <c r="E23" s="208"/>
      <c r="F23" s="207"/>
      <c r="G23" s="208"/>
      <c r="H23" s="208"/>
      <c r="I23" s="207"/>
      <c r="J23" s="208"/>
      <c r="K23" s="208"/>
      <c r="L23" s="209"/>
      <c r="M23" s="208"/>
      <c r="N23" s="208"/>
      <c r="O23" s="208"/>
      <c r="P23" s="209"/>
      <c r="Q23" s="208"/>
      <c r="R23" s="208"/>
      <c r="S23" s="208"/>
      <c r="T23" s="209"/>
      <c r="U23" s="208"/>
      <c r="V23" s="208"/>
      <c r="W23" s="208"/>
      <c r="X23" s="46"/>
      <c r="Y23" s="208"/>
      <c r="Z23" s="208"/>
      <c r="AA23" s="46"/>
      <c r="AB23" s="208"/>
      <c r="AC23" s="208"/>
      <c r="AD23" s="46"/>
      <c r="AE23" s="208"/>
      <c r="AF23" s="208"/>
      <c r="AG23" s="46"/>
    </row>
    <row r="24" spans="1:33" s="203" customFormat="1" ht="46.15" customHeight="1" x14ac:dyDescent="0.25">
      <c r="A24" s="205"/>
      <c r="B24" s="206"/>
      <c r="C24" s="311"/>
      <c r="D24" s="208"/>
      <c r="E24" s="208"/>
      <c r="F24" s="207"/>
      <c r="G24" s="208"/>
      <c r="H24" s="208"/>
      <c r="I24" s="207"/>
      <c r="J24" s="208"/>
      <c r="K24" s="208"/>
      <c r="L24" s="209"/>
      <c r="M24" s="208"/>
      <c r="N24" s="208"/>
      <c r="O24" s="208"/>
      <c r="P24" s="209"/>
      <c r="Q24" s="208"/>
      <c r="R24" s="208"/>
      <c r="S24" s="208"/>
      <c r="T24" s="209"/>
      <c r="U24" s="208"/>
      <c r="V24" s="208"/>
      <c r="W24" s="208"/>
      <c r="X24" s="46"/>
      <c r="Y24" s="208"/>
      <c r="Z24" s="208"/>
      <c r="AA24" s="46"/>
      <c r="AB24" s="208"/>
      <c r="AC24" s="208"/>
      <c r="AD24" s="46"/>
      <c r="AE24" s="208"/>
      <c r="AF24" s="208"/>
      <c r="AG24" s="46"/>
    </row>
    <row r="25" spans="1:33" s="203" customFormat="1" ht="46.15" customHeight="1" x14ac:dyDescent="0.25">
      <c r="A25" s="205"/>
      <c r="B25" s="206"/>
      <c r="C25" s="311"/>
      <c r="D25" s="208"/>
      <c r="E25" s="208"/>
      <c r="F25" s="207"/>
      <c r="G25" s="208"/>
      <c r="H25" s="208"/>
      <c r="I25" s="207"/>
      <c r="J25" s="208"/>
      <c r="K25" s="208"/>
      <c r="L25" s="209"/>
      <c r="M25" s="208"/>
      <c r="N25" s="208"/>
      <c r="O25" s="208"/>
      <c r="P25" s="209"/>
      <c r="Q25" s="208"/>
      <c r="R25" s="208"/>
      <c r="S25" s="208"/>
      <c r="T25" s="209"/>
      <c r="U25" s="208"/>
      <c r="V25" s="208"/>
      <c r="W25" s="208"/>
      <c r="X25" s="46"/>
      <c r="Y25" s="208"/>
      <c r="Z25" s="208"/>
      <c r="AA25" s="46"/>
      <c r="AB25" s="208"/>
      <c r="AC25" s="208"/>
      <c r="AD25" s="46"/>
      <c r="AE25" s="208"/>
      <c r="AF25" s="208"/>
      <c r="AG25" s="46"/>
    </row>
    <row r="26" spans="1:33" s="203" customFormat="1" ht="46.15" customHeight="1" x14ac:dyDescent="0.25">
      <c r="A26" s="205"/>
      <c r="B26" s="206"/>
      <c r="C26" s="311"/>
      <c r="D26" s="208"/>
      <c r="E26" s="208"/>
      <c r="F26" s="207"/>
      <c r="G26" s="208"/>
      <c r="H26" s="208"/>
      <c r="I26" s="207"/>
      <c r="J26" s="208"/>
      <c r="K26" s="208"/>
      <c r="L26" s="209"/>
      <c r="M26" s="208"/>
      <c r="N26" s="208"/>
      <c r="O26" s="208"/>
      <c r="P26" s="209"/>
      <c r="Q26" s="208"/>
      <c r="R26" s="208"/>
      <c r="S26" s="208"/>
      <c r="T26" s="209"/>
      <c r="U26" s="208"/>
      <c r="V26" s="208"/>
      <c r="W26" s="208"/>
      <c r="X26" s="46"/>
      <c r="Y26" s="208"/>
      <c r="Z26" s="208"/>
      <c r="AA26" s="46"/>
      <c r="AB26" s="208"/>
      <c r="AC26" s="208"/>
      <c r="AD26" s="46"/>
      <c r="AE26" s="208"/>
      <c r="AF26" s="208"/>
      <c r="AG26" s="46"/>
    </row>
    <row r="27" spans="1:33" s="203" customFormat="1" ht="46.15" customHeight="1" x14ac:dyDescent="0.25">
      <c r="A27" s="205"/>
      <c r="B27" s="206"/>
      <c r="C27" s="311"/>
      <c r="D27" s="208"/>
      <c r="E27" s="208"/>
      <c r="F27" s="207"/>
      <c r="G27" s="208"/>
      <c r="H27" s="208"/>
      <c r="I27" s="207"/>
      <c r="J27" s="208"/>
      <c r="K27" s="208"/>
      <c r="L27" s="209"/>
      <c r="M27" s="208"/>
      <c r="N27" s="208"/>
      <c r="O27" s="208"/>
      <c r="P27" s="209"/>
      <c r="Q27" s="208"/>
      <c r="R27" s="208"/>
      <c r="S27" s="208"/>
      <c r="T27" s="209"/>
      <c r="U27" s="208"/>
      <c r="V27" s="208"/>
      <c r="W27" s="208"/>
      <c r="X27" s="46"/>
      <c r="Y27" s="208"/>
      <c r="Z27" s="208"/>
      <c r="AA27" s="46"/>
      <c r="AB27" s="208"/>
      <c r="AC27" s="208"/>
      <c r="AD27" s="46"/>
      <c r="AE27" s="208"/>
      <c r="AF27" s="208"/>
      <c r="AG27" s="46"/>
    </row>
    <row r="28" spans="1:33" s="203" customFormat="1" ht="46.15" customHeight="1" x14ac:dyDescent="0.25">
      <c r="A28" s="205"/>
      <c r="B28" s="206"/>
      <c r="C28" s="311"/>
      <c r="D28" s="208"/>
      <c r="E28" s="208"/>
      <c r="F28" s="207"/>
      <c r="G28" s="208"/>
      <c r="H28" s="208"/>
      <c r="I28" s="207"/>
      <c r="J28" s="208"/>
      <c r="K28" s="208"/>
      <c r="L28" s="209"/>
      <c r="M28" s="208"/>
      <c r="N28" s="208"/>
      <c r="O28" s="208"/>
      <c r="P28" s="209"/>
      <c r="Q28" s="208"/>
      <c r="R28" s="208"/>
      <c r="S28" s="208"/>
      <c r="T28" s="209"/>
      <c r="U28" s="208"/>
      <c r="V28" s="208"/>
      <c r="W28" s="208"/>
      <c r="X28" s="46"/>
      <c r="Y28" s="208"/>
      <c r="Z28" s="208"/>
      <c r="AA28" s="46"/>
      <c r="AB28" s="208"/>
      <c r="AC28" s="208"/>
      <c r="AD28" s="46"/>
      <c r="AE28" s="208"/>
      <c r="AF28" s="208"/>
      <c r="AG28" s="46"/>
    </row>
    <row r="29" spans="1:33" s="203" customFormat="1" ht="46.15" customHeight="1" x14ac:dyDescent="0.25">
      <c r="A29" s="205"/>
      <c r="B29" s="206"/>
      <c r="C29" s="311"/>
      <c r="D29" s="208"/>
      <c r="E29" s="208"/>
      <c r="F29" s="207"/>
      <c r="G29" s="208"/>
      <c r="H29" s="208"/>
      <c r="I29" s="207"/>
      <c r="J29" s="208"/>
      <c r="K29" s="208"/>
      <c r="L29" s="209"/>
      <c r="M29" s="208"/>
      <c r="N29" s="208"/>
      <c r="O29" s="208"/>
      <c r="P29" s="209"/>
      <c r="Q29" s="208"/>
      <c r="R29" s="208"/>
      <c r="S29" s="208"/>
      <c r="T29" s="209"/>
      <c r="U29" s="208"/>
      <c r="V29" s="208"/>
      <c r="W29" s="208"/>
      <c r="X29" s="46"/>
      <c r="Y29" s="208"/>
      <c r="Z29" s="208"/>
      <c r="AA29" s="46"/>
      <c r="AB29" s="208"/>
      <c r="AC29" s="208"/>
      <c r="AD29" s="46"/>
      <c r="AE29" s="208"/>
      <c r="AF29" s="208"/>
      <c r="AG29" s="46"/>
    </row>
    <row r="30" spans="1:33" s="203" customFormat="1" ht="46.15" customHeight="1" x14ac:dyDescent="0.25">
      <c r="A30" s="202"/>
      <c r="B30" s="204"/>
      <c r="D30" s="201"/>
      <c r="E30" s="201"/>
      <c r="F30" s="202"/>
      <c r="G30" s="201"/>
      <c r="H30" s="201"/>
      <c r="I30" s="202"/>
      <c r="J30" s="201"/>
      <c r="K30" s="201"/>
      <c r="L30" s="202"/>
      <c r="M30" s="201"/>
      <c r="N30" s="201"/>
      <c r="O30" s="201"/>
      <c r="P30" s="202"/>
      <c r="Q30" s="201"/>
      <c r="R30" s="201"/>
      <c r="S30" s="201"/>
      <c r="T30" s="202"/>
      <c r="U30" s="201"/>
      <c r="V30" s="201"/>
      <c r="W30" s="201"/>
      <c r="X30" s="202"/>
      <c r="Y30" s="201"/>
      <c r="Z30" s="201"/>
      <c r="AA30" s="202"/>
      <c r="AB30" s="201"/>
      <c r="AC30" s="201"/>
      <c r="AD30" s="202"/>
      <c r="AE30" s="201"/>
      <c r="AF30" s="201"/>
      <c r="AG30" s="202"/>
    </row>
    <row r="31" spans="1:33" s="203" customFormat="1" ht="46.15" customHeight="1" x14ac:dyDescent="0.25">
      <c r="A31" s="202"/>
      <c r="B31" s="204"/>
      <c r="D31" s="201"/>
      <c r="E31" s="201"/>
      <c r="F31" s="202"/>
      <c r="G31" s="201"/>
      <c r="H31" s="201"/>
      <c r="I31" s="202"/>
      <c r="J31" s="201"/>
      <c r="K31" s="201"/>
      <c r="L31" s="202"/>
      <c r="M31" s="201"/>
      <c r="N31" s="201"/>
      <c r="O31" s="201"/>
      <c r="P31" s="202"/>
      <c r="Q31" s="201"/>
      <c r="R31" s="201"/>
      <c r="S31" s="201"/>
      <c r="T31" s="202"/>
      <c r="U31" s="201"/>
      <c r="V31" s="201"/>
      <c r="W31" s="201"/>
      <c r="X31" s="202"/>
      <c r="Y31" s="201"/>
      <c r="Z31" s="201"/>
      <c r="AA31" s="202"/>
      <c r="AB31" s="201"/>
      <c r="AC31" s="201"/>
      <c r="AD31" s="202"/>
      <c r="AE31" s="201"/>
      <c r="AF31" s="201"/>
      <c r="AG31" s="202"/>
    </row>
    <row r="32" spans="1:33" s="203" customFormat="1" ht="46.15" customHeight="1" x14ac:dyDescent="0.25">
      <c r="A32" s="202"/>
      <c r="B32" s="204"/>
      <c r="D32" s="201"/>
      <c r="E32" s="201"/>
      <c r="F32" s="202"/>
      <c r="G32" s="201"/>
      <c r="H32" s="201"/>
      <c r="I32" s="202"/>
      <c r="J32" s="201"/>
      <c r="K32" s="201"/>
      <c r="L32" s="202"/>
      <c r="M32" s="201"/>
      <c r="N32" s="201"/>
      <c r="O32" s="201"/>
      <c r="P32" s="202"/>
      <c r="Q32" s="201"/>
      <c r="R32" s="201"/>
      <c r="S32" s="201"/>
      <c r="T32" s="202"/>
      <c r="U32" s="201"/>
      <c r="V32" s="201"/>
      <c r="W32" s="201"/>
      <c r="X32" s="202"/>
      <c r="Y32" s="201"/>
      <c r="Z32" s="201"/>
      <c r="AA32" s="202"/>
      <c r="AB32" s="201"/>
      <c r="AC32" s="201"/>
      <c r="AD32" s="202"/>
      <c r="AE32" s="201"/>
      <c r="AF32" s="201"/>
      <c r="AG32" s="202"/>
    </row>
    <row r="33" spans="1:33" s="203" customFormat="1" ht="46.15" customHeight="1" x14ac:dyDescent="0.25">
      <c r="A33" s="202"/>
      <c r="B33" s="204"/>
      <c r="D33" s="201"/>
      <c r="E33" s="201"/>
      <c r="F33" s="202"/>
      <c r="G33" s="201"/>
      <c r="H33" s="201"/>
      <c r="I33" s="202"/>
      <c r="J33" s="201"/>
      <c r="K33" s="201"/>
      <c r="L33" s="202"/>
      <c r="M33" s="201"/>
      <c r="N33" s="201"/>
      <c r="O33" s="201"/>
      <c r="P33" s="202"/>
      <c r="Q33" s="201"/>
      <c r="R33" s="201"/>
      <c r="S33" s="201"/>
      <c r="T33" s="202"/>
      <c r="U33" s="201"/>
      <c r="V33" s="201"/>
      <c r="W33" s="201"/>
      <c r="X33" s="202"/>
      <c r="Y33" s="201"/>
      <c r="Z33" s="201"/>
      <c r="AA33" s="202"/>
      <c r="AB33" s="201"/>
      <c r="AC33" s="201"/>
      <c r="AD33" s="202"/>
      <c r="AE33" s="201"/>
      <c r="AF33" s="201"/>
      <c r="AG33" s="202"/>
    </row>
    <row r="34" spans="1:33" s="203" customFormat="1" ht="46.15" customHeight="1" x14ac:dyDescent="0.25">
      <c r="A34" s="202"/>
      <c r="B34" s="204"/>
      <c r="D34" s="201"/>
      <c r="E34" s="201"/>
      <c r="F34" s="202"/>
      <c r="G34" s="201"/>
      <c r="H34" s="201"/>
      <c r="I34" s="202"/>
      <c r="J34" s="201"/>
      <c r="K34" s="201"/>
      <c r="L34" s="202"/>
      <c r="M34" s="201"/>
      <c r="N34" s="201"/>
      <c r="O34" s="201"/>
      <c r="P34" s="202"/>
      <c r="Q34" s="201"/>
      <c r="R34" s="201"/>
      <c r="S34" s="201"/>
      <c r="T34" s="202"/>
      <c r="U34" s="201"/>
      <c r="V34" s="201"/>
      <c r="W34" s="201"/>
      <c r="X34" s="202"/>
      <c r="Y34" s="201"/>
      <c r="Z34" s="201"/>
      <c r="AA34" s="202"/>
      <c r="AB34" s="201"/>
      <c r="AC34" s="201"/>
      <c r="AD34" s="202"/>
      <c r="AE34" s="201"/>
      <c r="AF34" s="201"/>
      <c r="AG34" s="202"/>
    </row>
    <row r="35" spans="1:33" s="203" customFormat="1" ht="46.15" customHeight="1" x14ac:dyDescent="0.25">
      <c r="A35" s="202"/>
      <c r="B35" s="204"/>
      <c r="D35" s="201"/>
      <c r="E35" s="201"/>
      <c r="F35" s="202"/>
      <c r="G35" s="201"/>
      <c r="H35" s="201"/>
      <c r="I35" s="202"/>
      <c r="J35" s="201"/>
      <c r="K35" s="201"/>
      <c r="L35" s="202"/>
      <c r="M35" s="201"/>
      <c r="N35" s="201"/>
      <c r="O35" s="201"/>
      <c r="P35" s="202"/>
      <c r="Q35" s="201"/>
      <c r="R35" s="201"/>
      <c r="S35" s="201"/>
      <c r="T35" s="202"/>
      <c r="U35" s="201"/>
      <c r="V35" s="201"/>
      <c r="W35" s="201"/>
      <c r="X35" s="202"/>
      <c r="Y35" s="201"/>
      <c r="Z35" s="201"/>
      <c r="AA35" s="202"/>
      <c r="AB35" s="201"/>
      <c r="AC35" s="201"/>
      <c r="AD35" s="202"/>
      <c r="AE35" s="201"/>
      <c r="AF35" s="201"/>
      <c r="AG35" s="202"/>
    </row>
    <row r="36" spans="1:33" s="203" customFormat="1" ht="46.15" customHeight="1" x14ac:dyDescent="0.25">
      <c r="A36" s="202"/>
      <c r="B36" s="204"/>
      <c r="D36" s="201"/>
      <c r="E36" s="201"/>
      <c r="F36" s="202"/>
      <c r="G36" s="201"/>
      <c r="H36" s="201"/>
      <c r="I36" s="202"/>
      <c r="J36" s="201"/>
      <c r="K36" s="201"/>
      <c r="L36" s="202"/>
      <c r="M36" s="201"/>
      <c r="N36" s="201"/>
      <c r="O36" s="201"/>
      <c r="P36" s="202"/>
      <c r="Q36" s="201"/>
      <c r="R36" s="201"/>
      <c r="S36" s="201"/>
      <c r="T36" s="202"/>
      <c r="U36" s="201"/>
      <c r="V36" s="201"/>
      <c r="W36" s="201"/>
      <c r="X36" s="202"/>
      <c r="Y36" s="201"/>
      <c r="Z36" s="201"/>
      <c r="AA36" s="202"/>
      <c r="AB36" s="201"/>
      <c r="AC36" s="201"/>
      <c r="AD36" s="202"/>
      <c r="AE36" s="201"/>
      <c r="AF36" s="201"/>
      <c r="AG36" s="202"/>
    </row>
    <row r="37" spans="1:33" s="203" customFormat="1" ht="46.15" customHeight="1" x14ac:dyDescent="0.25">
      <c r="A37" s="202"/>
      <c r="B37" s="204"/>
      <c r="D37" s="201"/>
      <c r="E37" s="201"/>
      <c r="F37" s="202"/>
      <c r="G37" s="201"/>
      <c r="H37" s="201"/>
      <c r="I37" s="202"/>
      <c r="J37" s="201"/>
      <c r="K37" s="201"/>
      <c r="L37" s="202"/>
      <c r="M37" s="201"/>
      <c r="N37" s="201"/>
      <c r="O37" s="201"/>
      <c r="P37" s="202"/>
      <c r="Q37" s="201"/>
      <c r="R37" s="201"/>
      <c r="S37" s="201"/>
      <c r="T37" s="202"/>
      <c r="U37" s="201"/>
      <c r="V37" s="201"/>
      <c r="W37" s="201"/>
      <c r="X37" s="202"/>
      <c r="Y37" s="201"/>
      <c r="Z37" s="201"/>
      <c r="AA37" s="202"/>
      <c r="AB37" s="201"/>
      <c r="AC37" s="201"/>
      <c r="AD37" s="202"/>
      <c r="AE37" s="201"/>
      <c r="AF37" s="201"/>
      <c r="AG37" s="202"/>
    </row>
    <row r="38" spans="1:33" s="203" customFormat="1" ht="46.15" customHeight="1" x14ac:dyDescent="0.25">
      <c r="A38" s="202"/>
      <c r="B38" s="204"/>
      <c r="D38" s="201"/>
      <c r="E38" s="201"/>
      <c r="F38" s="202"/>
      <c r="G38" s="201"/>
      <c r="H38" s="201"/>
      <c r="I38" s="202"/>
      <c r="J38" s="201"/>
      <c r="K38" s="201"/>
      <c r="L38" s="202"/>
      <c r="M38" s="201"/>
      <c r="N38" s="201"/>
      <c r="O38" s="201"/>
      <c r="P38" s="202"/>
      <c r="Q38" s="201"/>
      <c r="R38" s="201"/>
      <c r="S38" s="201"/>
      <c r="T38" s="202"/>
      <c r="U38" s="201"/>
      <c r="V38" s="201"/>
      <c r="W38" s="201"/>
      <c r="X38" s="202"/>
      <c r="Y38" s="201"/>
      <c r="Z38" s="201"/>
      <c r="AA38" s="202"/>
      <c r="AB38" s="201"/>
      <c r="AC38" s="201"/>
      <c r="AD38" s="202"/>
      <c r="AE38" s="201"/>
      <c r="AF38" s="201"/>
      <c r="AG38" s="202"/>
    </row>
    <row r="39" spans="1:33" s="203" customFormat="1" ht="46.15" customHeight="1" x14ac:dyDescent="0.25">
      <c r="A39" s="202"/>
      <c r="B39" s="204"/>
      <c r="D39" s="201"/>
      <c r="E39" s="201"/>
      <c r="F39" s="202"/>
      <c r="G39" s="201"/>
      <c r="H39" s="201"/>
      <c r="I39" s="202"/>
      <c r="J39" s="201"/>
      <c r="K39" s="201"/>
      <c r="L39" s="202"/>
      <c r="M39" s="201"/>
      <c r="N39" s="201"/>
      <c r="O39" s="201"/>
      <c r="P39" s="202"/>
      <c r="Q39" s="201"/>
      <c r="R39" s="201"/>
      <c r="S39" s="201"/>
      <c r="T39" s="202"/>
      <c r="U39" s="201"/>
      <c r="V39" s="201"/>
      <c r="W39" s="201"/>
      <c r="X39" s="202"/>
      <c r="Y39" s="201"/>
      <c r="Z39" s="201"/>
      <c r="AA39" s="202"/>
      <c r="AB39" s="201"/>
      <c r="AC39" s="201"/>
      <c r="AD39" s="202"/>
      <c r="AE39" s="201"/>
      <c r="AF39" s="201"/>
      <c r="AG39" s="202"/>
    </row>
    <row r="40" spans="1:33" s="203" customFormat="1" ht="46.15" customHeight="1" x14ac:dyDescent="0.25">
      <c r="A40" s="202"/>
      <c r="B40" s="204"/>
      <c r="D40" s="201"/>
      <c r="E40" s="201"/>
      <c r="F40" s="202"/>
      <c r="G40" s="201"/>
      <c r="H40" s="201"/>
      <c r="I40" s="202"/>
      <c r="J40" s="201"/>
      <c r="K40" s="201"/>
      <c r="L40" s="202"/>
      <c r="M40" s="201"/>
      <c r="N40" s="201"/>
      <c r="O40" s="201"/>
      <c r="P40" s="202"/>
      <c r="Q40" s="201"/>
      <c r="R40" s="201"/>
      <c r="S40" s="201"/>
      <c r="T40" s="202"/>
      <c r="U40" s="201"/>
      <c r="V40" s="201"/>
      <c r="W40" s="201"/>
      <c r="X40" s="202"/>
      <c r="Y40" s="201"/>
      <c r="Z40" s="201"/>
      <c r="AA40" s="202"/>
      <c r="AB40" s="201"/>
      <c r="AC40" s="201"/>
      <c r="AD40" s="202"/>
      <c r="AE40" s="201"/>
      <c r="AF40" s="201"/>
      <c r="AG40" s="20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EC8F-2F48-41C7-9621-31C57BC36CE1}">
  <sheetPr codeName="Sheet10">
    <tabColor rgb="FF92D050"/>
  </sheetPr>
  <dimension ref="A1:I34"/>
  <sheetViews>
    <sheetView showGridLines="0" zoomScale="55" zoomScaleNormal="55" workbookViewId="0">
      <pane xSplit="1" topLeftCell="B1" activePane="topRight" state="frozen"/>
      <selection pane="topRight" activeCell="E9" sqref="E9"/>
    </sheetView>
  </sheetViews>
  <sheetFormatPr defaultColWidth="8.85546875" defaultRowHeight="15" x14ac:dyDescent="0.25"/>
  <cols>
    <col min="1" max="1" width="31.85546875" style="252" customWidth="1"/>
    <col min="2" max="2" width="26.7109375" style="204" customWidth="1"/>
    <col min="3" max="3" width="21.7109375" style="202" customWidth="1"/>
    <col min="4" max="4" width="35.28515625" style="202" customWidth="1"/>
    <col min="5" max="5" width="31.7109375" style="202" customWidth="1"/>
    <col min="6" max="6" width="32" style="202" customWidth="1"/>
    <col min="7" max="7" width="22" style="202" customWidth="1"/>
    <col min="8" max="8" width="19.85546875" style="202" customWidth="1"/>
    <col min="9" max="9" width="21" style="13" customWidth="1"/>
    <col min="10" max="16384" width="8.85546875" style="13"/>
  </cols>
  <sheetData>
    <row r="1" spans="1:9" s="203" customFormat="1" ht="46.15" customHeight="1" x14ac:dyDescent="0.25">
      <c r="A1" s="250" t="s">
        <v>101</v>
      </c>
      <c r="B1" s="248" t="s">
        <v>142</v>
      </c>
      <c r="C1" s="249" t="s">
        <v>104</v>
      </c>
      <c r="D1" s="249" t="s">
        <v>105</v>
      </c>
      <c r="E1" s="249" t="s">
        <v>106</v>
      </c>
      <c r="F1" s="249" t="s">
        <v>107</v>
      </c>
      <c r="G1" s="249" t="s">
        <v>108</v>
      </c>
      <c r="H1" s="249" t="s">
        <v>109</v>
      </c>
      <c r="I1" s="60" t="s">
        <v>141</v>
      </c>
    </row>
    <row r="2" spans="1:9" s="203" customFormat="1" ht="46.15" customHeight="1" x14ac:dyDescent="0.25">
      <c r="A2" s="250" t="s">
        <v>504</v>
      </c>
      <c r="B2" s="248"/>
      <c r="C2" s="249">
        <v>2593.6</v>
      </c>
      <c r="D2" s="249">
        <v>49</v>
      </c>
      <c r="E2" s="249">
        <v>6.35</v>
      </c>
      <c r="F2" s="249">
        <v>13.17</v>
      </c>
      <c r="G2" s="249"/>
      <c r="H2" s="249"/>
      <c r="I2" s="60"/>
    </row>
    <row r="3" spans="1:9" s="203" customFormat="1" ht="46.15" customHeight="1" x14ac:dyDescent="0.25">
      <c r="A3" s="250" t="s">
        <v>503</v>
      </c>
      <c r="B3" s="248"/>
      <c r="C3" s="249"/>
      <c r="D3" s="249"/>
      <c r="E3" s="249"/>
      <c r="F3" s="249"/>
      <c r="G3" s="249"/>
      <c r="H3" s="249"/>
      <c r="I3" s="60"/>
    </row>
    <row r="4" spans="1:9" s="203" customFormat="1" ht="46.15" customHeight="1" x14ac:dyDescent="0.25">
      <c r="A4" s="250" t="s">
        <v>502</v>
      </c>
      <c r="B4" s="248"/>
      <c r="C4" s="249"/>
      <c r="D4" s="249"/>
      <c r="E4" s="249"/>
      <c r="F4" s="249"/>
      <c r="G4" s="249"/>
      <c r="H4" s="249"/>
      <c r="I4" s="60"/>
    </row>
    <row r="5" spans="1:9" s="203" customFormat="1" ht="46.15" customHeight="1" x14ac:dyDescent="0.25">
      <c r="A5" s="250" t="s">
        <v>501</v>
      </c>
      <c r="B5" s="248"/>
      <c r="C5" s="249"/>
      <c r="D5" s="249"/>
      <c r="E5" s="249">
        <v>14.15</v>
      </c>
      <c r="F5" s="249"/>
      <c r="G5" s="249"/>
      <c r="H5" s="249"/>
      <c r="I5" s="60"/>
    </row>
    <row r="6" spans="1:9" s="203" customFormat="1" ht="46.15" customHeight="1" x14ac:dyDescent="0.25">
      <c r="A6" s="250" t="s">
        <v>500</v>
      </c>
      <c r="B6" s="248"/>
      <c r="C6" s="249">
        <v>2448.6999999999998</v>
      </c>
      <c r="D6" s="249">
        <v>34.299999999999997</v>
      </c>
      <c r="E6" s="249">
        <v>3.1280000000000001</v>
      </c>
      <c r="F6" s="249">
        <v>11.26</v>
      </c>
      <c r="G6" s="249"/>
      <c r="H6" s="249"/>
      <c r="I6" s="60"/>
    </row>
    <row r="7" spans="1:9" s="203" customFormat="1" ht="46.15" customHeight="1" x14ac:dyDescent="0.25">
      <c r="A7" s="250" t="s">
        <v>499</v>
      </c>
      <c r="B7" s="248"/>
      <c r="C7" s="249">
        <v>2806.6</v>
      </c>
      <c r="D7" s="249">
        <v>40.299999999999997</v>
      </c>
      <c r="E7" s="249">
        <v>5.6180000000000003</v>
      </c>
      <c r="F7" s="249">
        <v>13.13</v>
      </c>
      <c r="G7" s="249"/>
      <c r="H7" s="249"/>
      <c r="I7" s="60"/>
    </row>
    <row r="8" spans="1:9" s="203" customFormat="1" ht="46.15" customHeight="1" x14ac:dyDescent="0.25">
      <c r="A8" s="250" t="s">
        <v>498</v>
      </c>
      <c r="B8" s="248"/>
      <c r="C8" s="249">
        <v>2785.4</v>
      </c>
      <c r="D8" s="249">
        <v>39.6</v>
      </c>
      <c r="E8" s="249">
        <v>7.7839999999999998</v>
      </c>
      <c r="F8" s="249">
        <v>14.75</v>
      </c>
      <c r="G8" s="249"/>
      <c r="H8" s="249"/>
      <c r="I8" s="60"/>
    </row>
    <row r="9" spans="1:9" s="203" customFormat="1" ht="46.15" customHeight="1" x14ac:dyDescent="0.25">
      <c r="A9" s="250" t="s">
        <v>497</v>
      </c>
      <c r="B9" s="248"/>
      <c r="C9" s="249"/>
      <c r="D9" s="249"/>
      <c r="E9" s="249"/>
      <c r="F9" s="249"/>
      <c r="G9" s="249"/>
      <c r="H9" s="249"/>
      <c r="I9" s="60"/>
    </row>
    <row r="10" spans="1:9" s="203" customFormat="1" ht="46.15" customHeight="1" x14ac:dyDescent="0.25">
      <c r="A10" s="250" t="s">
        <v>496</v>
      </c>
      <c r="B10" s="248"/>
      <c r="C10" s="249">
        <v>262.7</v>
      </c>
      <c r="D10" s="249">
        <v>31</v>
      </c>
      <c r="E10" s="249">
        <v>7.95</v>
      </c>
      <c r="F10" s="249">
        <v>16.73</v>
      </c>
      <c r="G10" s="249"/>
      <c r="H10" s="249"/>
      <c r="I10" s="60"/>
    </row>
    <row r="11" spans="1:9" s="203" customFormat="1" ht="46.15" customHeight="1" x14ac:dyDescent="0.25">
      <c r="A11" s="250" t="s">
        <v>495</v>
      </c>
      <c r="B11" s="248"/>
      <c r="C11" s="249"/>
      <c r="D11" s="249"/>
      <c r="E11" s="249">
        <v>10.88</v>
      </c>
      <c r="F11" s="249">
        <v>17.04</v>
      </c>
      <c r="G11" s="249"/>
      <c r="H11" s="249"/>
      <c r="I11" s="60"/>
    </row>
    <row r="12" spans="1:9" s="203" customFormat="1" ht="46.15" customHeight="1" x14ac:dyDescent="0.25">
      <c r="A12" s="250" t="s">
        <v>493</v>
      </c>
      <c r="B12" s="248"/>
      <c r="C12" s="249">
        <v>552</v>
      </c>
      <c r="D12" s="249">
        <v>30.8</v>
      </c>
      <c r="E12" s="249">
        <v>44.3</v>
      </c>
      <c r="F12" s="249">
        <v>17.14</v>
      </c>
      <c r="G12" s="249">
        <v>1.03</v>
      </c>
      <c r="H12" s="249"/>
      <c r="I12" s="60"/>
    </row>
    <row r="13" spans="1:9" s="203" customFormat="1" ht="46.15" customHeight="1" x14ac:dyDescent="0.25">
      <c r="A13" s="250" t="s">
        <v>492</v>
      </c>
      <c r="B13" s="248"/>
      <c r="C13" s="249"/>
      <c r="D13" s="249"/>
      <c r="E13" s="249"/>
      <c r="F13" s="249"/>
      <c r="G13" s="249"/>
      <c r="H13" s="249"/>
      <c r="I13" s="60"/>
    </row>
    <row r="14" spans="1:9" s="203" customFormat="1" ht="46.15" customHeight="1" x14ac:dyDescent="0.25">
      <c r="A14" s="250" t="s">
        <v>491</v>
      </c>
      <c r="B14" s="248"/>
      <c r="C14" s="249">
        <v>532.29999999999995</v>
      </c>
      <c r="D14" s="249">
        <v>29.2</v>
      </c>
      <c r="E14" s="249">
        <v>14.84</v>
      </c>
      <c r="F14" s="249">
        <v>13.89</v>
      </c>
      <c r="G14" s="249">
        <v>1.2</v>
      </c>
      <c r="H14" s="249"/>
      <c r="I14" s="60"/>
    </row>
    <row r="15" spans="1:9" s="203" customFormat="1" ht="46.15" customHeight="1" x14ac:dyDescent="0.25">
      <c r="A15" s="250" t="s">
        <v>490</v>
      </c>
      <c r="B15" s="248"/>
      <c r="C15" s="249">
        <v>603.20000000000005</v>
      </c>
      <c r="D15" s="249">
        <v>27.6</v>
      </c>
      <c r="E15" s="249">
        <v>15.25</v>
      </c>
      <c r="F15" s="249">
        <v>12.722</v>
      </c>
      <c r="G15" s="249"/>
      <c r="H15" s="249"/>
      <c r="I15" s="60"/>
    </row>
    <row r="16" spans="1:9" s="203" customFormat="1" ht="46.15" customHeight="1" x14ac:dyDescent="0.25">
      <c r="A16" s="250" t="s">
        <v>489</v>
      </c>
      <c r="B16" s="248"/>
      <c r="C16" s="249"/>
      <c r="D16" s="249"/>
      <c r="E16" s="249"/>
      <c r="F16" s="249"/>
      <c r="G16" s="249"/>
      <c r="H16" s="249"/>
      <c r="I16" s="60"/>
    </row>
    <row r="17" spans="1:9" s="203" customFormat="1" ht="46.15" customHeight="1" x14ac:dyDescent="0.25">
      <c r="A17" s="250" t="s">
        <v>488</v>
      </c>
      <c r="B17" s="248"/>
      <c r="C17" s="249"/>
      <c r="D17" s="249"/>
      <c r="E17" s="249"/>
      <c r="F17" s="249"/>
      <c r="G17" s="249"/>
      <c r="H17" s="249"/>
      <c r="I17" s="60"/>
    </row>
    <row r="18" spans="1:9" s="203" customFormat="1" ht="46.15" customHeight="1" x14ac:dyDescent="0.25">
      <c r="A18" s="250" t="s">
        <v>487</v>
      </c>
      <c r="B18" s="248"/>
      <c r="C18" s="249"/>
      <c r="D18" s="249"/>
      <c r="E18" s="249"/>
      <c r="F18" s="249"/>
      <c r="G18" s="249"/>
      <c r="H18" s="249"/>
      <c r="I18" s="60"/>
    </row>
    <row r="19" spans="1:9" s="203" customFormat="1" ht="46.15" customHeight="1" x14ac:dyDescent="0.25">
      <c r="A19" s="250" t="s">
        <v>485</v>
      </c>
      <c r="B19" s="248"/>
      <c r="C19" s="249"/>
      <c r="D19" s="249"/>
      <c r="E19" s="249"/>
      <c r="F19" s="249"/>
      <c r="G19" s="249"/>
      <c r="H19" s="249"/>
      <c r="I19" s="60"/>
    </row>
    <row r="20" spans="1:9" s="203" customFormat="1" ht="46.15" customHeight="1" x14ac:dyDescent="0.25">
      <c r="A20" s="250" t="s">
        <v>483</v>
      </c>
      <c r="B20" s="248"/>
      <c r="C20" s="249"/>
      <c r="D20" s="249"/>
      <c r="E20" s="249"/>
      <c r="F20" s="249"/>
      <c r="G20" s="249"/>
      <c r="H20" s="249"/>
      <c r="I20" s="60"/>
    </row>
    <row r="21" spans="1:9" s="203" customFormat="1" ht="46.15" customHeight="1" x14ac:dyDescent="0.25">
      <c r="A21" s="250" t="s">
        <v>481</v>
      </c>
      <c r="B21" s="248"/>
      <c r="C21" s="249"/>
      <c r="D21" s="249"/>
      <c r="E21" s="249"/>
      <c r="F21" s="249"/>
      <c r="G21" s="249"/>
      <c r="H21" s="249"/>
      <c r="I21" s="60"/>
    </row>
    <row r="22" spans="1:9" s="203" customFormat="1" ht="46.15" customHeight="1" x14ac:dyDescent="0.25">
      <c r="A22" s="250"/>
      <c r="B22" s="248"/>
      <c r="C22" s="249"/>
      <c r="D22" s="249"/>
      <c r="E22" s="249"/>
      <c r="F22" s="249"/>
      <c r="G22" s="249"/>
      <c r="H22" s="249"/>
      <c r="I22" s="60"/>
    </row>
    <row r="23" spans="1:9" s="203" customFormat="1" ht="46.15" customHeight="1" x14ac:dyDescent="0.25">
      <c r="A23" s="250"/>
      <c r="B23" s="248"/>
      <c r="C23" s="249"/>
      <c r="D23" s="249"/>
      <c r="E23" s="249"/>
      <c r="F23" s="249"/>
      <c r="G23" s="249"/>
      <c r="H23" s="249"/>
      <c r="I23" s="60"/>
    </row>
    <row r="24" spans="1:9" s="203" customFormat="1" ht="46.15" customHeight="1" x14ac:dyDescent="0.25">
      <c r="A24" s="250"/>
      <c r="B24" s="248"/>
      <c r="C24" s="249"/>
      <c r="D24" s="249"/>
      <c r="E24" s="249"/>
      <c r="F24" s="249"/>
      <c r="G24" s="249"/>
      <c r="H24" s="249"/>
      <c r="I24" s="60"/>
    </row>
    <row r="25" spans="1:9" s="203" customFormat="1" ht="46.15" customHeight="1" x14ac:dyDescent="0.25">
      <c r="A25" s="250"/>
      <c r="B25" s="248"/>
      <c r="C25" s="249"/>
      <c r="D25" s="249"/>
      <c r="E25" s="249"/>
      <c r="F25" s="249"/>
      <c r="G25" s="249"/>
      <c r="H25" s="249"/>
      <c r="I25" s="60"/>
    </row>
    <row r="26" spans="1:9" s="203" customFormat="1" ht="46.15" customHeight="1" x14ac:dyDescent="0.25">
      <c r="A26" s="250"/>
      <c r="B26" s="248"/>
      <c r="C26" s="249"/>
      <c r="D26" s="249"/>
      <c r="E26" s="249"/>
      <c r="F26" s="249"/>
      <c r="G26" s="249"/>
      <c r="H26" s="249"/>
      <c r="I26" s="60"/>
    </row>
    <row r="27" spans="1:9" s="203" customFormat="1" ht="46.15" customHeight="1" x14ac:dyDescent="0.25">
      <c r="A27" s="250"/>
      <c r="B27" s="248"/>
      <c r="C27" s="249"/>
      <c r="D27" s="249"/>
      <c r="E27" s="249"/>
      <c r="F27" s="249"/>
      <c r="G27" s="249"/>
      <c r="H27" s="249"/>
      <c r="I27" s="60"/>
    </row>
    <row r="28" spans="1:9" s="203" customFormat="1" ht="46.15" customHeight="1" x14ac:dyDescent="0.25">
      <c r="A28" s="250"/>
      <c r="B28" s="248"/>
      <c r="C28" s="249"/>
      <c r="D28" s="249"/>
      <c r="E28" s="249"/>
      <c r="F28" s="249"/>
      <c r="G28" s="249"/>
      <c r="H28" s="249"/>
      <c r="I28" s="60"/>
    </row>
    <row r="29" spans="1:9" s="203" customFormat="1" ht="46.15" customHeight="1" x14ac:dyDescent="0.25">
      <c r="A29" s="250"/>
      <c r="B29" s="248"/>
      <c r="C29" s="249"/>
      <c r="D29" s="249"/>
      <c r="E29" s="249"/>
      <c r="F29" s="249"/>
      <c r="G29" s="249"/>
      <c r="H29" s="249"/>
      <c r="I29" s="60"/>
    </row>
    <row r="30" spans="1:9" s="203" customFormat="1" ht="46.15" customHeight="1" x14ac:dyDescent="0.25">
      <c r="A30" s="250"/>
      <c r="B30" s="248"/>
      <c r="C30" s="249"/>
      <c r="D30" s="249"/>
      <c r="E30" s="249"/>
      <c r="F30" s="249"/>
      <c r="G30" s="249"/>
      <c r="H30" s="249"/>
      <c r="I30" s="60"/>
    </row>
    <row r="31" spans="1:9" s="203" customFormat="1" ht="46.15" customHeight="1" x14ac:dyDescent="0.25">
      <c r="A31" s="250"/>
      <c r="B31" s="248"/>
      <c r="C31" s="249"/>
      <c r="D31" s="249"/>
      <c r="E31" s="249"/>
      <c r="F31" s="249"/>
      <c r="G31" s="249"/>
      <c r="H31" s="249"/>
      <c r="I31" s="60"/>
    </row>
    <row r="32" spans="1:9" s="203" customFormat="1" ht="35.1" customHeight="1" x14ac:dyDescent="0.25">
      <c r="A32" s="250"/>
      <c r="B32" s="248"/>
      <c r="C32" s="249"/>
      <c r="D32" s="249"/>
      <c r="E32" s="249"/>
      <c r="F32" s="249"/>
      <c r="G32" s="249"/>
      <c r="H32" s="249"/>
      <c r="I32" s="60"/>
    </row>
    <row r="33" spans="1:9" s="203" customFormat="1" ht="35.1" customHeight="1" x14ac:dyDescent="0.25">
      <c r="A33" s="251"/>
      <c r="B33" s="253"/>
      <c r="C33" s="254"/>
      <c r="D33" s="254"/>
      <c r="E33" s="254"/>
      <c r="F33" s="254"/>
      <c r="G33" s="254"/>
      <c r="H33" s="254"/>
      <c r="I33" s="255"/>
    </row>
    <row r="34" spans="1:9" s="203" customFormat="1" ht="35.1" customHeight="1" x14ac:dyDescent="0.25">
      <c r="A34" s="256"/>
      <c r="B34" s="257"/>
      <c r="C34" s="258"/>
      <c r="D34" s="258"/>
      <c r="E34" s="258"/>
      <c r="F34" s="258"/>
      <c r="G34" s="258"/>
      <c r="H34" s="258"/>
      <c r="I34" s="255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7D309-9CFC-40CD-A75D-88F89884892C}">
  <sheetPr codeName="Sheet7">
    <tabColor rgb="FF0070C0"/>
  </sheetPr>
  <dimension ref="A1:K40"/>
  <sheetViews>
    <sheetView showGridLines="0" zoomScale="115" zoomScaleNormal="115" zoomScaleSheetLayoutView="98" workbookViewId="0">
      <pane xSplit="1" topLeftCell="B1" activePane="topRight" state="frozen"/>
      <selection pane="topRight" activeCell="I6" sqref="I6"/>
    </sheetView>
  </sheetViews>
  <sheetFormatPr defaultColWidth="11.42578125" defaultRowHeight="15" x14ac:dyDescent="0.25"/>
  <cols>
    <col min="1" max="1" width="27.140625" style="237" customWidth="1"/>
    <col min="2" max="3" width="27.140625" style="60" customWidth="1"/>
    <col min="4" max="6" width="12.7109375" style="60" customWidth="1"/>
    <col min="7" max="7" width="14.85546875" style="237" customWidth="1"/>
    <col min="8" max="8" width="14.85546875" style="60" customWidth="1"/>
    <col min="9" max="9" width="12.7109375" style="60" customWidth="1"/>
    <col min="10" max="11" width="20.7109375" style="60" customWidth="1"/>
    <col min="12" max="12" width="23.5703125" style="60" customWidth="1"/>
    <col min="13" max="16384" width="11.42578125" style="60"/>
  </cols>
  <sheetData>
    <row r="1" spans="1:11" ht="29.45" customHeight="1" thickBot="1" x14ac:dyDescent="0.3">
      <c r="A1" s="235" t="s">
        <v>248</v>
      </c>
      <c r="B1" s="83" t="s">
        <v>246</v>
      </c>
      <c r="C1" s="83" t="s">
        <v>247</v>
      </c>
      <c r="D1" s="86" t="s">
        <v>204</v>
      </c>
      <c r="E1" s="84" t="s">
        <v>205</v>
      </c>
      <c r="F1" s="84" t="s">
        <v>206</v>
      </c>
      <c r="G1" s="85" t="s">
        <v>508</v>
      </c>
      <c r="H1" s="235" t="s">
        <v>260</v>
      </c>
      <c r="I1" s="235" t="s">
        <v>207</v>
      </c>
      <c r="J1" s="86" t="s">
        <v>209</v>
      </c>
      <c r="K1" s="240" t="s">
        <v>249</v>
      </c>
    </row>
    <row r="2" spans="1:11" ht="16.5" thickTop="1" thickBot="1" x14ac:dyDescent="0.3">
      <c r="A2" s="79">
        <v>1</v>
      </c>
      <c r="B2" s="82"/>
      <c r="C2" s="82" t="s">
        <v>507</v>
      </c>
      <c r="D2" s="77">
        <v>5</v>
      </c>
      <c r="E2" s="81">
        <v>5</v>
      </c>
      <c r="F2" s="81">
        <v>22</v>
      </c>
      <c r="G2" s="238">
        <v>14</v>
      </c>
      <c r="H2" s="79" t="s">
        <v>478</v>
      </c>
      <c r="I2" s="79" t="s">
        <v>505</v>
      </c>
      <c r="J2" s="77"/>
      <c r="K2" s="239" t="s">
        <v>506</v>
      </c>
    </row>
    <row r="3" spans="1:11" ht="16.5" thickTop="1" thickBot="1" x14ac:dyDescent="0.3">
      <c r="A3" s="80">
        <v>2</v>
      </c>
      <c r="B3" s="73"/>
      <c r="C3" s="82" t="s">
        <v>507</v>
      </c>
      <c r="D3" s="77">
        <v>5</v>
      </c>
      <c r="E3" s="81">
        <v>5</v>
      </c>
      <c r="F3" s="81">
        <v>22</v>
      </c>
      <c r="G3" s="238">
        <v>14</v>
      </c>
      <c r="H3" s="80" t="s">
        <v>517</v>
      </c>
      <c r="I3" s="80" t="s">
        <v>516</v>
      </c>
      <c r="J3" s="72"/>
      <c r="K3" s="239" t="s">
        <v>506</v>
      </c>
    </row>
    <row r="4" spans="1:11" ht="16.5" thickTop="1" thickBot="1" x14ac:dyDescent="0.3">
      <c r="A4" s="80">
        <v>3</v>
      </c>
      <c r="B4" s="73"/>
      <c r="C4" s="82" t="s">
        <v>507</v>
      </c>
      <c r="D4" s="77">
        <v>5</v>
      </c>
      <c r="E4" s="81">
        <v>5</v>
      </c>
      <c r="F4" s="81">
        <v>22</v>
      </c>
      <c r="G4" s="238">
        <v>14</v>
      </c>
      <c r="H4" s="80" t="s">
        <v>517</v>
      </c>
      <c r="I4" s="80" t="s">
        <v>516</v>
      </c>
      <c r="J4" s="72"/>
      <c r="K4" s="239" t="s">
        <v>518</v>
      </c>
    </row>
    <row r="5" spans="1:11" ht="15.75" thickTop="1" x14ac:dyDescent="0.25">
      <c r="A5" s="80">
        <v>4</v>
      </c>
      <c r="B5" s="73"/>
      <c r="C5" s="82" t="s">
        <v>507</v>
      </c>
      <c r="D5" s="77">
        <v>5</v>
      </c>
      <c r="E5" s="81">
        <v>5</v>
      </c>
      <c r="F5" s="81">
        <v>22</v>
      </c>
      <c r="G5" s="238">
        <v>14</v>
      </c>
      <c r="H5" s="80" t="s">
        <v>517</v>
      </c>
      <c r="I5" s="80" t="s">
        <v>505</v>
      </c>
      <c r="J5" s="72"/>
      <c r="K5" s="239" t="s">
        <v>518</v>
      </c>
    </row>
    <row r="6" spans="1:11" x14ac:dyDescent="0.25">
      <c r="A6" s="80"/>
      <c r="B6" s="73"/>
      <c r="C6" s="73"/>
      <c r="D6" s="72"/>
      <c r="E6" s="74"/>
      <c r="F6" s="74"/>
      <c r="G6" s="75"/>
      <c r="H6" s="80"/>
      <c r="I6" s="80"/>
      <c r="J6" s="72"/>
      <c r="K6" s="239"/>
    </row>
    <row r="7" spans="1:11" x14ac:dyDescent="0.25">
      <c r="A7" s="80"/>
      <c r="B7" s="73"/>
      <c r="C7" s="73"/>
      <c r="D7" s="72"/>
      <c r="E7" s="74"/>
      <c r="F7" s="74"/>
      <c r="G7" s="75"/>
      <c r="H7" s="80"/>
      <c r="I7" s="80"/>
      <c r="J7" s="72"/>
      <c r="K7" s="239"/>
    </row>
    <row r="8" spans="1:11" x14ac:dyDescent="0.25">
      <c r="A8" s="80"/>
      <c r="B8" s="73"/>
      <c r="C8" s="73"/>
      <c r="D8" s="72"/>
      <c r="E8" s="74"/>
      <c r="F8" s="74"/>
      <c r="G8" s="75"/>
      <c r="H8" s="80"/>
      <c r="I8" s="80"/>
      <c r="J8" s="72"/>
      <c r="K8" s="239"/>
    </row>
    <row r="9" spans="1:11" x14ac:dyDescent="0.25">
      <c r="A9" s="80"/>
      <c r="B9" s="73"/>
      <c r="C9" s="73"/>
      <c r="D9" s="72"/>
      <c r="E9" s="74"/>
      <c r="F9" s="74"/>
      <c r="G9" s="75"/>
      <c r="H9" s="80"/>
      <c r="I9" s="80"/>
      <c r="J9" s="72"/>
      <c r="K9" s="239"/>
    </row>
    <row r="10" spans="1:11" x14ac:dyDescent="0.25">
      <c r="A10" s="80"/>
      <c r="B10" s="73"/>
      <c r="C10" s="73"/>
      <c r="D10" s="72"/>
      <c r="E10" s="74"/>
      <c r="F10" s="74"/>
      <c r="G10" s="75"/>
      <c r="H10" s="80"/>
      <c r="I10" s="80"/>
      <c r="J10" s="72"/>
      <c r="K10" s="239"/>
    </row>
    <row r="11" spans="1:11" x14ac:dyDescent="0.25">
      <c r="A11" s="80"/>
      <c r="B11" s="73"/>
      <c r="C11" s="73"/>
      <c r="D11" s="72"/>
      <c r="E11" s="74"/>
      <c r="F11" s="74"/>
      <c r="G11" s="75"/>
      <c r="H11" s="80"/>
      <c r="I11" s="80"/>
      <c r="J11" s="72"/>
      <c r="K11" s="239"/>
    </row>
    <row r="12" spans="1:11" x14ac:dyDescent="0.25">
      <c r="A12" s="80"/>
      <c r="B12" s="73"/>
      <c r="C12" s="73"/>
      <c r="D12" s="72"/>
      <c r="E12" s="74"/>
      <c r="F12" s="74"/>
      <c r="G12" s="75"/>
      <c r="H12" s="80"/>
      <c r="I12" s="80"/>
      <c r="J12" s="72"/>
      <c r="K12" s="239"/>
    </row>
    <row r="13" spans="1:11" x14ac:dyDescent="0.25">
      <c r="A13" s="80"/>
      <c r="B13" s="73"/>
      <c r="C13" s="73"/>
      <c r="D13" s="72"/>
      <c r="E13" s="74"/>
      <c r="F13" s="74"/>
      <c r="G13" s="75"/>
      <c r="H13" s="80"/>
      <c r="I13" s="80"/>
      <c r="J13" s="72"/>
      <c r="K13" s="239"/>
    </row>
    <row r="14" spans="1:11" x14ac:dyDescent="0.25">
      <c r="A14" s="80"/>
      <c r="B14" s="73"/>
      <c r="C14" s="73"/>
      <c r="D14" s="72"/>
      <c r="E14" s="74"/>
      <c r="F14" s="74"/>
      <c r="G14" s="75"/>
      <c r="H14" s="80"/>
      <c r="I14" s="80"/>
      <c r="J14" s="72"/>
      <c r="K14" s="239"/>
    </row>
    <row r="15" spans="1:11" x14ac:dyDescent="0.25">
      <c r="A15" s="80"/>
      <c r="B15" s="73"/>
      <c r="C15" s="73"/>
      <c r="D15" s="72"/>
      <c r="E15" s="74"/>
      <c r="F15" s="74"/>
      <c r="G15" s="75"/>
      <c r="H15" s="80"/>
      <c r="I15" s="80"/>
      <c r="J15" s="72"/>
      <c r="K15" s="239"/>
    </row>
    <row r="16" spans="1:11" x14ac:dyDescent="0.25">
      <c r="A16" s="80"/>
      <c r="B16" s="73"/>
      <c r="C16" s="73"/>
      <c r="D16" s="72"/>
      <c r="E16" s="74"/>
      <c r="F16" s="74"/>
      <c r="G16" s="75"/>
      <c r="H16" s="80"/>
      <c r="I16" s="80"/>
      <c r="J16" s="72"/>
      <c r="K16" s="239"/>
    </row>
    <row r="17" spans="1:11" x14ac:dyDescent="0.25">
      <c r="A17" s="80"/>
      <c r="B17" s="73"/>
      <c r="C17" s="73"/>
      <c r="D17" s="72"/>
      <c r="E17" s="74"/>
      <c r="F17" s="74"/>
      <c r="G17" s="75"/>
      <c r="H17" s="80"/>
      <c r="I17" s="80"/>
      <c r="J17" s="72"/>
      <c r="K17" s="239"/>
    </row>
    <row r="18" spans="1:11" x14ac:dyDescent="0.25">
      <c r="A18" s="80"/>
      <c r="B18" s="73"/>
      <c r="C18" s="73"/>
      <c r="D18" s="72"/>
      <c r="E18" s="74"/>
      <c r="F18" s="74"/>
      <c r="G18" s="75"/>
      <c r="H18" s="80"/>
      <c r="I18" s="80"/>
      <c r="J18" s="72"/>
      <c r="K18" s="239"/>
    </row>
    <row r="19" spans="1:11" x14ac:dyDescent="0.25">
      <c r="A19" s="80"/>
      <c r="B19" s="73"/>
      <c r="C19" s="73"/>
      <c r="D19" s="72"/>
      <c r="E19" s="74"/>
      <c r="F19" s="74"/>
      <c r="G19" s="75"/>
      <c r="H19" s="80"/>
      <c r="I19" s="80"/>
      <c r="J19" s="72"/>
      <c r="K19" s="239"/>
    </row>
    <row r="20" spans="1:11" x14ac:dyDescent="0.25">
      <c r="A20" s="80"/>
      <c r="B20" s="73"/>
      <c r="C20" s="73"/>
      <c r="D20" s="72"/>
      <c r="E20" s="74"/>
      <c r="F20" s="74"/>
      <c r="G20" s="75"/>
      <c r="H20" s="80"/>
      <c r="I20" s="80"/>
      <c r="J20" s="72"/>
      <c r="K20" s="239"/>
    </row>
    <row r="21" spans="1:11" x14ac:dyDescent="0.25">
      <c r="A21" s="80"/>
      <c r="B21" s="73"/>
      <c r="C21" s="73"/>
      <c r="D21" s="72"/>
      <c r="E21" s="74"/>
      <c r="F21" s="74"/>
      <c r="G21" s="75"/>
      <c r="H21" s="80"/>
      <c r="I21" s="80"/>
      <c r="J21" s="72"/>
      <c r="K21" s="239"/>
    </row>
    <row r="22" spans="1:11" x14ac:dyDescent="0.25">
      <c r="A22" s="80"/>
      <c r="B22" s="73"/>
      <c r="C22" s="73"/>
      <c r="D22" s="72"/>
      <c r="E22" s="74"/>
      <c r="F22" s="74"/>
      <c r="G22" s="75"/>
      <c r="H22" s="80"/>
      <c r="I22" s="80"/>
      <c r="J22" s="72"/>
      <c r="K22" s="239"/>
    </row>
    <row r="23" spans="1:11" x14ac:dyDescent="0.25">
      <c r="A23" s="80"/>
      <c r="B23" s="73"/>
      <c r="C23" s="73"/>
      <c r="D23" s="72"/>
      <c r="E23" s="74"/>
      <c r="F23" s="74"/>
      <c r="G23" s="75"/>
      <c r="H23" s="80"/>
      <c r="I23" s="80"/>
      <c r="J23" s="72"/>
      <c r="K23" s="239"/>
    </row>
    <row r="24" spans="1:11" x14ac:dyDescent="0.25">
      <c r="A24" s="80"/>
      <c r="B24" s="73"/>
      <c r="C24" s="73"/>
      <c r="D24" s="72"/>
      <c r="E24" s="74"/>
      <c r="F24" s="74"/>
      <c r="G24" s="75"/>
      <c r="H24" s="80"/>
      <c r="I24" s="80"/>
      <c r="J24" s="72"/>
      <c r="K24" s="239"/>
    </row>
    <row r="25" spans="1:11" x14ac:dyDescent="0.25">
      <c r="A25" s="80"/>
      <c r="B25" s="73"/>
      <c r="C25" s="73"/>
      <c r="D25" s="72"/>
      <c r="E25" s="74"/>
      <c r="F25" s="74"/>
      <c r="G25" s="75"/>
      <c r="H25" s="80"/>
      <c r="I25" s="80"/>
      <c r="J25" s="72"/>
      <c r="K25" s="239"/>
    </row>
    <row r="26" spans="1:11" x14ac:dyDescent="0.25">
      <c r="A26" s="80"/>
      <c r="B26" s="73"/>
      <c r="C26" s="73"/>
      <c r="D26" s="72"/>
      <c r="E26" s="74"/>
      <c r="F26" s="74"/>
      <c r="G26" s="75"/>
      <c r="H26" s="80"/>
      <c r="I26" s="80"/>
      <c r="J26" s="72"/>
      <c r="K26" s="239"/>
    </row>
    <row r="27" spans="1:11" x14ac:dyDescent="0.25">
      <c r="A27" s="80"/>
      <c r="B27" s="73"/>
      <c r="C27" s="73"/>
      <c r="D27" s="72"/>
      <c r="E27" s="74"/>
      <c r="F27" s="74"/>
      <c r="G27" s="75"/>
      <c r="H27" s="80"/>
      <c r="I27" s="80"/>
      <c r="J27" s="72"/>
      <c r="K27" s="239"/>
    </row>
    <row r="28" spans="1:11" x14ac:dyDescent="0.25">
      <c r="A28" s="80"/>
      <c r="B28" s="73"/>
      <c r="C28" s="73"/>
      <c r="D28" s="72"/>
      <c r="E28" s="74"/>
      <c r="F28" s="74"/>
      <c r="G28" s="75"/>
      <c r="H28" s="80"/>
      <c r="I28" s="80"/>
      <c r="J28" s="72"/>
      <c r="K28" s="239"/>
    </row>
    <row r="29" spans="1:11" x14ac:dyDescent="0.25">
      <c r="A29" s="80"/>
      <c r="B29" s="73"/>
      <c r="C29" s="73"/>
      <c r="D29" s="72"/>
      <c r="E29" s="74"/>
      <c r="F29" s="74"/>
      <c r="G29" s="75"/>
      <c r="H29" s="80"/>
      <c r="I29" s="80"/>
      <c r="J29" s="72"/>
      <c r="K29" s="239"/>
    </row>
    <row r="30" spans="1:11" x14ac:dyDescent="0.25">
      <c r="A30" s="80"/>
      <c r="B30" s="73"/>
      <c r="C30" s="73"/>
      <c r="D30" s="72"/>
      <c r="E30" s="74"/>
      <c r="F30" s="74"/>
      <c r="G30" s="75"/>
      <c r="H30" s="80"/>
      <c r="I30" s="80"/>
      <c r="J30" s="72"/>
      <c r="K30" s="239"/>
    </row>
    <row r="31" spans="1:11" x14ac:dyDescent="0.25">
      <c r="A31" s="80"/>
      <c r="B31" s="73"/>
      <c r="C31" s="73"/>
      <c r="D31" s="72"/>
      <c r="E31" s="74"/>
      <c r="F31" s="74"/>
      <c r="G31" s="75"/>
      <c r="H31" s="80"/>
      <c r="I31" s="80"/>
      <c r="J31" s="72"/>
      <c r="K31" s="239"/>
    </row>
    <row r="32" spans="1:11" x14ac:dyDescent="0.25">
      <c r="A32" s="80"/>
      <c r="B32" s="73"/>
      <c r="C32" s="73"/>
      <c r="D32" s="72"/>
      <c r="E32" s="74"/>
      <c r="F32" s="74"/>
      <c r="G32" s="75"/>
      <c r="H32" s="80"/>
      <c r="I32" s="80"/>
      <c r="J32" s="72"/>
      <c r="K32" s="239"/>
    </row>
    <row r="33" spans="1:11" x14ac:dyDescent="0.25">
      <c r="A33" s="80"/>
      <c r="B33" s="73"/>
      <c r="C33" s="73"/>
      <c r="D33" s="72"/>
      <c r="E33" s="74"/>
      <c r="F33" s="74"/>
      <c r="G33" s="75"/>
      <c r="H33" s="80"/>
      <c r="I33" s="80"/>
      <c r="J33" s="72"/>
      <c r="K33" s="239"/>
    </row>
    <row r="34" spans="1:11" x14ac:dyDescent="0.25">
      <c r="A34" s="80"/>
      <c r="B34" s="73"/>
      <c r="C34" s="73"/>
      <c r="D34" s="72"/>
      <c r="E34" s="74"/>
      <c r="F34" s="74"/>
      <c r="G34" s="75"/>
      <c r="H34" s="80"/>
      <c r="I34" s="80"/>
      <c r="J34" s="72"/>
      <c r="K34" s="239"/>
    </row>
    <row r="35" spans="1:11" x14ac:dyDescent="0.25">
      <c r="A35" s="80"/>
      <c r="B35" s="73"/>
      <c r="C35" s="73"/>
      <c r="D35" s="72"/>
      <c r="E35" s="74"/>
      <c r="F35" s="74"/>
      <c r="G35" s="75"/>
      <c r="H35" s="80"/>
      <c r="I35" s="80"/>
      <c r="J35" s="72"/>
      <c r="K35" s="239"/>
    </row>
    <row r="36" spans="1:11" x14ac:dyDescent="0.25">
      <c r="A36" s="80"/>
      <c r="B36" s="73"/>
      <c r="C36" s="73"/>
      <c r="D36" s="72"/>
      <c r="E36" s="74"/>
      <c r="F36" s="74"/>
      <c r="G36" s="75"/>
      <c r="H36" s="80"/>
      <c r="I36" s="80"/>
      <c r="J36" s="72"/>
      <c r="K36" s="239"/>
    </row>
    <row r="37" spans="1:11" x14ac:dyDescent="0.25">
      <c r="A37" s="80"/>
      <c r="B37" s="73"/>
      <c r="C37" s="73"/>
      <c r="D37" s="72"/>
      <c r="E37" s="74"/>
      <c r="F37" s="74"/>
      <c r="G37" s="75"/>
      <c r="H37" s="80"/>
      <c r="I37" s="80"/>
      <c r="J37" s="72"/>
      <c r="K37" s="239"/>
    </row>
    <row r="38" spans="1:11" x14ac:dyDescent="0.25">
      <c r="A38" s="80"/>
      <c r="B38" s="73"/>
      <c r="C38" s="73"/>
      <c r="D38" s="72"/>
      <c r="E38" s="74"/>
      <c r="F38" s="74"/>
      <c r="G38" s="75"/>
      <c r="H38" s="80"/>
      <c r="I38" s="80"/>
      <c r="J38" s="72"/>
      <c r="K38" s="239"/>
    </row>
    <row r="39" spans="1:11" x14ac:dyDescent="0.25">
      <c r="A39" s="80"/>
      <c r="B39" s="73"/>
      <c r="C39" s="73"/>
      <c r="D39" s="72"/>
      <c r="E39" s="74"/>
      <c r="F39" s="74"/>
      <c r="G39" s="75"/>
      <c r="H39" s="80"/>
      <c r="I39" s="80"/>
      <c r="J39" s="72"/>
      <c r="K39" s="239"/>
    </row>
    <row r="40" spans="1:11" x14ac:dyDescent="0.25">
      <c r="A40" s="236"/>
      <c r="B40" s="88"/>
      <c r="C40" s="88"/>
      <c r="D40" s="92"/>
      <c r="E40" s="90"/>
      <c r="F40" s="90"/>
      <c r="G40" s="91"/>
      <c r="H40" s="236"/>
      <c r="I40" s="236"/>
      <c r="J40" s="92"/>
      <c r="K40" s="239"/>
    </row>
  </sheetData>
  <pageMargins left="0.7" right="0.7" top="0.75" bottom="0.75" header="0.3" footer="0.3"/>
  <pageSetup paperSize="9"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06AA-5A04-4AD9-A289-447496C37758}">
  <sheetPr codeName="Sheet4">
    <tabColor rgb="FF00B0F0"/>
  </sheetPr>
  <dimension ref="A1:Y42"/>
  <sheetViews>
    <sheetView showGridLines="0" tabSelected="1" zoomScaleNormal="100" zoomScaleSheetLayoutView="98" workbookViewId="0">
      <pane xSplit="1" topLeftCell="B1" activePane="topRight" state="frozen"/>
      <selection pane="topRight" activeCell="V5" sqref="V5"/>
    </sheetView>
  </sheetViews>
  <sheetFormatPr defaultColWidth="11.42578125" defaultRowHeight="15" x14ac:dyDescent="0.25"/>
  <cols>
    <col min="1" max="1" width="27.140625" style="60" customWidth="1"/>
    <col min="2" max="2" width="10.7109375" style="60" bestFit="1" customWidth="1"/>
    <col min="3" max="3" width="22.42578125" style="60" customWidth="1"/>
    <col min="4" max="4" width="14" style="60" customWidth="1"/>
    <col min="5" max="5" width="30.42578125" style="60" customWidth="1"/>
    <col min="6" max="6" width="23.7109375" style="60" customWidth="1"/>
    <col min="7" max="7" width="17.85546875" style="60" bestFit="1" customWidth="1"/>
    <col min="8" max="8" width="20.28515625" style="60" customWidth="1"/>
    <col min="9" max="9" width="26.28515625" style="60" customWidth="1"/>
    <col min="10" max="14" width="10.7109375" style="60" customWidth="1"/>
    <col min="15" max="15" width="16.28515625" style="60" customWidth="1"/>
    <col min="16" max="17" width="10.7109375" style="60" customWidth="1"/>
    <col min="18" max="19" width="14.85546875" style="60" customWidth="1"/>
    <col min="20" max="20" width="19.42578125" style="60" customWidth="1"/>
    <col min="21" max="21" width="17.28515625" style="60" customWidth="1"/>
    <col min="22" max="22" width="25.5703125" style="60" bestFit="1" customWidth="1"/>
    <col min="23" max="23" width="39.7109375" style="60" customWidth="1"/>
    <col min="24" max="24" width="45.85546875" style="60" customWidth="1"/>
    <col min="25" max="25" width="23.5703125" style="60" customWidth="1"/>
    <col min="26" max="16384" width="11.42578125" style="60"/>
  </cols>
  <sheetData>
    <row r="1" spans="1:25" ht="19.5" customHeight="1" x14ac:dyDescent="0.25">
      <c r="A1" s="437" t="s">
        <v>199</v>
      </c>
      <c r="B1" s="438"/>
      <c r="C1" s="438"/>
      <c r="D1" s="439"/>
      <c r="E1" s="440"/>
      <c r="F1" s="76"/>
      <c r="G1" s="234"/>
      <c r="H1" s="441" t="s">
        <v>200</v>
      </c>
      <c r="I1" s="442"/>
      <c r="J1" s="437" t="s">
        <v>201</v>
      </c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40"/>
      <c r="V1" s="443" t="s">
        <v>202</v>
      </c>
      <c r="W1" s="444"/>
      <c r="X1" s="444"/>
      <c r="Y1" s="444"/>
    </row>
    <row r="2" spans="1:25" ht="29.45" customHeight="1" thickBot="1" x14ac:dyDescent="0.3">
      <c r="A2" s="83" t="s">
        <v>333</v>
      </c>
      <c r="B2" s="83" t="s">
        <v>254</v>
      </c>
      <c r="C2" s="83" t="s">
        <v>253</v>
      </c>
      <c r="D2" s="84" t="s">
        <v>110</v>
      </c>
      <c r="E2" s="85" t="s">
        <v>203</v>
      </c>
      <c r="F2" s="87" t="s">
        <v>208</v>
      </c>
      <c r="G2" s="84" t="s">
        <v>250</v>
      </c>
      <c r="H2" s="86" t="s">
        <v>252</v>
      </c>
      <c r="I2" s="84" t="s">
        <v>251</v>
      </c>
      <c r="J2" s="86" t="s">
        <v>210</v>
      </c>
      <c r="K2" s="84" t="s">
        <v>211</v>
      </c>
      <c r="L2" s="84" t="s">
        <v>212</v>
      </c>
      <c r="M2" s="84" t="s">
        <v>213</v>
      </c>
      <c r="N2" s="84" t="s">
        <v>214</v>
      </c>
      <c r="O2" s="84" t="s">
        <v>455</v>
      </c>
      <c r="P2" s="84" t="s">
        <v>424</v>
      </c>
      <c r="Q2" s="84" t="s">
        <v>215</v>
      </c>
      <c r="R2" s="84" t="s">
        <v>216</v>
      </c>
      <c r="S2" s="85" t="s">
        <v>217</v>
      </c>
      <c r="T2" s="84" t="s">
        <v>218</v>
      </c>
      <c r="U2" s="322" t="s">
        <v>219</v>
      </c>
      <c r="V2" s="83" t="s">
        <v>220</v>
      </c>
      <c r="W2" s="83" t="s">
        <v>221</v>
      </c>
      <c r="X2" s="84" t="s">
        <v>425</v>
      </c>
      <c r="Y2" s="83" t="s">
        <v>422</v>
      </c>
    </row>
    <row r="3" spans="1:25" ht="16.5" thickTop="1" thickBot="1" x14ac:dyDescent="0.3">
      <c r="A3" s="82"/>
      <c r="B3" s="82">
        <v>1</v>
      </c>
      <c r="C3" s="82" t="s">
        <v>481</v>
      </c>
      <c r="D3" s="285">
        <v>44861</v>
      </c>
      <c r="E3" s="325" t="s">
        <v>509</v>
      </c>
      <c r="F3" s="65"/>
      <c r="G3" s="78">
        <v>100</v>
      </c>
      <c r="H3" s="67"/>
      <c r="I3" s="62"/>
      <c r="J3" s="69">
        <v>10</v>
      </c>
      <c r="K3" s="63">
        <v>25</v>
      </c>
      <c r="L3" s="63">
        <v>-15</v>
      </c>
      <c r="M3" s="63">
        <v>30</v>
      </c>
      <c r="N3" s="63">
        <v>30</v>
      </c>
      <c r="O3" s="63"/>
      <c r="P3" s="63"/>
      <c r="Q3" s="63">
        <v>50</v>
      </c>
      <c r="R3" s="63"/>
      <c r="S3" s="63"/>
      <c r="T3" s="63">
        <v>70</v>
      </c>
      <c r="U3" s="323">
        <v>300</v>
      </c>
      <c r="V3" s="321"/>
      <c r="W3" s="287" t="s">
        <v>511</v>
      </c>
      <c r="X3" s="63"/>
    </row>
    <row r="4" spans="1:25" ht="16.5" thickTop="1" thickBot="1" x14ac:dyDescent="0.3">
      <c r="A4" s="73"/>
      <c r="B4" s="73">
        <v>1</v>
      </c>
      <c r="C4" s="73" t="s">
        <v>483</v>
      </c>
      <c r="D4" s="285">
        <v>44861</v>
      </c>
      <c r="E4" s="326" t="s">
        <v>509</v>
      </c>
      <c r="F4" s="66"/>
      <c r="G4" s="74">
        <v>100</v>
      </c>
      <c r="H4" s="68"/>
      <c r="I4" s="61"/>
      <c r="J4" s="70">
        <v>10</v>
      </c>
      <c r="K4" s="64">
        <v>25</v>
      </c>
      <c r="L4" s="64">
        <v>-25</v>
      </c>
      <c r="M4" s="64">
        <v>30</v>
      </c>
      <c r="N4" s="64">
        <v>30</v>
      </c>
      <c r="O4" s="64"/>
      <c r="P4" s="64"/>
      <c r="Q4" s="64">
        <v>50</v>
      </c>
      <c r="R4" s="64"/>
      <c r="S4" s="64"/>
      <c r="T4" s="64">
        <v>70</v>
      </c>
      <c r="U4" s="71">
        <v>300</v>
      </c>
      <c r="V4" s="321">
        <v>2</v>
      </c>
      <c r="W4" s="287" t="s">
        <v>512</v>
      </c>
      <c r="X4" s="64"/>
    </row>
    <row r="5" spans="1:25" ht="23.25" thickTop="1" x14ac:dyDescent="0.25">
      <c r="A5" s="73"/>
      <c r="B5" s="73">
        <v>1</v>
      </c>
      <c r="C5" s="73" t="s">
        <v>485</v>
      </c>
      <c r="D5" s="285">
        <v>44861</v>
      </c>
      <c r="E5" s="327" t="s">
        <v>509</v>
      </c>
      <c r="F5" s="66"/>
      <c r="G5" s="74">
        <v>100</v>
      </c>
      <c r="H5" s="68"/>
      <c r="I5" s="61"/>
      <c r="J5" s="70">
        <v>5</v>
      </c>
      <c r="K5" s="64">
        <v>20</v>
      </c>
      <c r="L5" s="64">
        <v>-15</v>
      </c>
      <c r="M5" s="64">
        <v>30</v>
      </c>
      <c r="N5" s="64">
        <v>30</v>
      </c>
      <c r="O5" s="64"/>
      <c r="P5" s="64"/>
      <c r="Q5" s="64">
        <v>50</v>
      </c>
      <c r="R5" s="64"/>
      <c r="S5" s="64"/>
      <c r="T5" s="64">
        <v>70</v>
      </c>
      <c r="U5" s="71">
        <v>300</v>
      </c>
      <c r="V5" s="98">
        <v>2</v>
      </c>
      <c r="W5" s="288" t="s">
        <v>513</v>
      </c>
      <c r="X5" s="64"/>
    </row>
    <row r="6" spans="1:25" ht="33.75" x14ac:dyDescent="0.25">
      <c r="A6" s="73"/>
      <c r="B6" s="73">
        <v>1</v>
      </c>
      <c r="C6" s="73" t="s">
        <v>487</v>
      </c>
      <c r="D6" s="286">
        <v>44865</v>
      </c>
      <c r="E6" s="327" t="s">
        <v>509</v>
      </c>
      <c r="F6" s="66"/>
      <c r="G6" s="74">
        <v>200</v>
      </c>
      <c r="H6" s="68"/>
      <c r="I6" s="61"/>
      <c r="J6" s="70">
        <v>10</v>
      </c>
      <c r="K6" s="64">
        <v>23</v>
      </c>
      <c r="L6" s="64">
        <v>-15</v>
      </c>
      <c r="M6" s="64">
        <v>30</v>
      </c>
      <c r="N6" s="64">
        <v>30</v>
      </c>
      <c r="O6" s="64"/>
      <c r="P6" s="64"/>
      <c r="Q6" s="64">
        <v>50</v>
      </c>
      <c r="R6" s="64"/>
      <c r="S6" s="64"/>
      <c r="T6" s="64">
        <v>70</v>
      </c>
      <c r="U6" s="71">
        <v>300</v>
      </c>
      <c r="V6" s="98">
        <v>3</v>
      </c>
      <c r="W6" s="288" t="s">
        <v>514</v>
      </c>
      <c r="X6" s="64"/>
    </row>
    <row r="7" spans="1:25" ht="22.5" x14ac:dyDescent="0.25">
      <c r="A7" s="73"/>
      <c r="B7" s="73">
        <v>1</v>
      </c>
      <c r="C7" s="73" t="s">
        <v>488</v>
      </c>
      <c r="D7" s="286">
        <v>44865</v>
      </c>
      <c r="E7" s="327" t="s">
        <v>510</v>
      </c>
      <c r="F7" s="66"/>
      <c r="G7" s="74">
        <v>200</v>
      </c>
      <c r="H7" s="68"/>
      <c r="I7" s="61"/>
      <c r="J7" s="70">
        <v>10</v>
      </c>
      <c r="K7" s="64">
        <v>23</v>
      </c>
      <c r="L7" s="64">
        <v>-15</v>
      </c>
      <c r="M7" s="64">
        <v>30</v>
      </c>
      <c r="N7" s="64">
        <v>30</v>
      </c>
      <c r="O7" s="64"/>
      <c r="P7" s="64"/>
      <c r="Q7" s="64">
        <v>50</v>
      </c>
      <c r="R7" s="64"/>
      <c r="S7" s="64"/>
      <c r="T7" s="64">
        <v>70</v>
      </c>
      <c r="U7" s="71">
        <v>300</v>
      </c>
      <c r="V7" s="98">
        <v>3</v>
      </c>
      <c r="W7" s="288" t="s">
        <v>515</v>
      </c>
      <c r="X7" s="64"/>
    </row>
    <row r="8" spans="1:25" ht="22.5" x14ac:dyDescent="0.25">
      <c r="A8" s="73"/>
      <c r="B8" s="73">
        <v>1</v>
      </c>
      <c r="C8" s="73" t="s">
        <v>489</v>
      </c>
      <c r="D8" s="286">
        <v>44865</v>
      </c>
      <c r="E8" s="327" t="s">
        <v>510</v>
      </c>
      <c r="F8" s="66"/>
      <c r="G8" s="74">
        <v>200</v>
      </c>
      <c r="H8" s="68"/>
      <c r="I8" s="61"/>
      <c r="J8" s="70">
        <v>10</v>
      </c>
      <c r="K8" s="64">
        <v>23</v>
      </c>
      <c r="L8" s="64">
        <v>-15</v>
      </c>
      <c r="M8" s="64">
        <v>30</v>
      </c>
      <c r="N8" s="64">
        <v>30</v>
      </c>
      <c r="O8" s="64"/>
      <c r="P8" s="64"/>
      <c r="Q8" s="64">
        <v>50</v>
      </c>
      <c r="R8" s="64"/>
      <c r="S8" s="64"/>
      <c r="T8" s="64">
        <v>70</v>
      </c>
      <c r="U8" s="71">
        <v>300</v>
      </c>
      <c r="V8" s="98">
        <v>4</v>
      </c>
      <c r="W8" s="288" t="s">
        <v>520</v>
      </c>
      <c r="X8" s="64"/>
    </row>
    <row r="9" spans="1:25" x14ac:dyDescent="0.25">
      <c r="A9" s="73"/>
      <c r="B9" s="73">
        <v>2</v>
      </c>
      <c r="C9" s="73" t="s">
        <v>489</v>
      </c>
      <c r="D9" s="286">
        <v>44995</v>
      </c>
      <c r="E9" s="327" t="s">
        <v>510</v>
      </c>
      <c r="F9" s="66"/>
      <c r="G9" s="74">
        <v>200</v>
      </c>
      <c r="H9" s="68"/>
      <c r="I9" s="61"/>
      <c r="J9" s="70">
        <v>10</v>
      </c>
      <c r="K9" s="64">
        <v>23</v>
      </c>
      <c r="L9" s="64">
        <v>-15</v>
      </c>
      <c r="M9" s="64">
        <v>30</v>
      </c>
      <c r="N9" s="64">
        <v>30</v>
      </c>
      <c r="O9" s="64"/>
      <c r="P9" s="64"/>
      <c r="Q9" s="64">
        <v>100</v>
      </c>
      <c r="R9" s="64"/>
      <c r="S9" s="64"/>
      <c r="T9" s="64">
        <v>70</v>
      </c>
      <c r="U9" s="71">
        <v>300</v>
      </c>
      <c r="V9" s="98">
        <v>4</v>
      </c>
      <c r="W9" s="288" t="s">
        <v>529</v>
      </c>
      <c r="X9" s="64"/>
    </row>
    <row r="10" spans="1:25" ht="22.5" x14ac:dyDescent="0.25">
      <c r="A10" s="73"/>
      <c r="B10" s="73">
        <v>2</v>
      </c>
      <c r="C10" s="73" t="s">
        <v>489</v>
      </c>
      <c r="D10" s="286">
        <v>44995</v>
      </c>
      <c r="E10" s="327" t="s">
        <v>510</v>
      </c>
      <c r="F10" s="66"/>
      <c r="G10" s="74">
        <v>200</v>
      </c>
      <c r="H10" s="68"/>
      <c r="I10" s="61"/>
      <c r="J10" s="70">
        <v>10</v>
      </c>
      <c r="K10" s="64">
        <v>23</v>
      </c>
      <c r="L10" s="64">
        <v>-15</v>
      </c>
      <c r="M10" s="64">
        <v>30</v>
      </c>
      <c r="N10" s="64">
        <v>30</v>
      </c>
      <c r="O10" s="64"/>
      <c r="P10" s="64"/>
      <c r="Q10" s="64">
        <v>80</v>
      </c>
      <c r="R10" s="64"/>
      <c r="S10" s="64"/>
      <c r="T10" s="64">
        <v>70</v>
      </c>
      <c r="U10" s="71">
        <v>300</v>
      </c>
      <c r="V10" s="98">
        <v>4</v>
      </c>
      <c r="W10" s="288" t="s">
        <v>521</v>
      </c>
      <c r="X10" s="64"/>
    </row>
    <row r="11" spans="1:25" ht="22.5" x14ac:dyDescent="0.25">
      <c r="A11" s="73"/>
      <c r="B11" s="73">
        <v>3</v>
      </c>
      <c r="C11" s="73" t="s">
        <v>490</v>
      </c>
      <c r="D11" s="286">
        <v>45042</v>
      </c>
      <c r="E11" s="327" t="s">
        <v>510</v>
      </c>
      <c r="F11" s="66"/>
      <c r="G11" s="74">
        <v>200</v>
      </c>
      <c r="H11" s="68"/>
      <c r="I11" s="61"/>
      <c r="J11" s="70">
        <v>10</v>
      </c>
      <c r="K11" s="64">
        <v>20</v>
      </c>
      <c r="L11" s="64">
        <v>-5</v>
      </c>
      <c r="M11" s="64">
        <v>30</v>
      </c>
      <c r="N11" s="64" t="s">
        <v>519</v>
      </c>
      <c r="O11" s="64"/>
      <c r="P11" s="64"/>
      <c r="Q11" s="64">
        <v>100</v>
      </c>
      <c r="R11" s="64"/>
      <c r="S11" s="64"/>
      <c r="T11" s="64">
        <v>50</v>
      </c>
      <c r="U11" s="71">
        <v>130</v>
      </c>
      <c r="V11" s="98">
        <v>4</v>
      </c>
      <c r="W11" s="288" t="s">
        <v>522</v>
      </c>
      <c r="X11" s="64"/>
    </row>
    <row r="12" spans="1:25" ht="33.75" x14ac:dyDescent="0.25">
      <c r="A12" s="73"/>
      <c r="B12" s="73">
        <v>3</v>
      </c>
      <c r="C12" s="73" t="s">
        <v>491</v>
      </c>
      <c r="D12" s="286">
        <v>45043</v>
      </c>
      <c r="E12" s="327" t="s">
        <v>510</v>
      </c>
      <c r="F12" s="66"/>
      <c r="G12" s="74">
        <v>200</v>
      </c>
      <c r="H12" s="68"/>
      <c r="I12" s="61"/>
      <c r="J12" s="70">
        <v>10</v>
      </c>
      <c r="K12" s="64">
        <v>25</v>
      </c>
      <c r="L12" s="64">
        <v>-20</v>
      </c>
      <c r="M12" s="64">
        <v>25</v>
      </c>
      <c r="N12" s="64">
        <v>30</v>
      </c>
      <c r="O12" s="64"/>
      <c r="P12" s="64"/>
      <c r="Q12" s="64">
        <v>50</v>
      </c>
      <c r="R12" s="64"/>
      <c r="S12" s="64"/>
      <c r="T12" s="64">
        <v>50</v>
      </c>
      <c r="U12" s="71">
        <v>130</v>
      </c>
      <c r="V12" s="64">
        <v>3</v>
      </c>
      <c r="W12" s="288" t="s">
        <v>523</v>
      </c>
      <c r="X12" s="64"/>
    </row>
    <row r="13" spans="1:25" ht="22.5" x14ac:dyDescent="0.25">
      <c r="A13" s="73"/>
      <c r="B13" s="73">
        <v>3</v>
      </c>
      <c r="C13" s="73" t="s">
        <v>490</v>
      </c>
      <c r="D13" s="286">
        <v>45043</v>
      </c>
      <c r="E13" s="327" t="s">
        <v>528</v>
      </c>
      <c r="F13" s="66"/>
      <c r="G13" s="74">
        <v>200</v>
      </c>
      <c r="H13" s="68"/>
      <c r="I13" s="61"/>
      <c r="J13" s="70">
        <v>10</v>
      </c>
      <c r="K13" s="64">
        <v>20</v>
      </c>
      <c r="L13" s="64">
        <v>-5</v>
      </c>
      <c r="M13" s="64">
        <v>30</v>
      </c>
      <c r="N13" s="64">
        <v>25</v>
      </c>
      <c r="O13" s="64"/>
      <c r="P13" s="64"/>
      <c r="Q13" s="64">
        <v>50</v>
      </c>
      <c r="R13" s="64"/>
      <c r="S13" s="64"/>
      <c r="T13" s="64">
        <v>50</v>
      </c>
      <c r="U13" s="71">
        <v>140</v>
      </c>
      <c r="V13" s="64">
        <v>4</v>
      </c>
      <c r="W13" s="288" t="s">
        <v>524</v>
      </c>
      <c r="X13" s="64"/>
    </row>
    <row r="14" spans="1:25" ht="45" x14ac:dyDescent="0.25">
      <c r="A14" s="73"/>
      <c r="B14" s="73">
        <v>3</v>
      </c>
      <c r="C14" s="73" t="s">
        <v>492</v>
      </c>
      <c r="D14" s="286">
        <v>45044</v>
      </c>
      <c r="E14" s="327" t="s">
        <v>528</v>
      </c>
      <c r="F14" s="66"/>
      <c r="G14" s="74">
        <v>200</v>
      </c>
      <c r="H14" s="68"/>
      <c r="I14" s="61"/>
      <c r="J14" s="70">
        <v>10</v>
      </c>
      <c r="K14" s="64">
        <v>30</v>
      </c>
      <c r="L14" s="64">
        <v>-20</v>
      </c>
      <c r="M14" s="64">
        <v>30</v>
      </c>
      <c r="N14" s="64">
        <v>25</v>
      </c>
      <c r="O14" s="64"/>
      <c r="P14" s="64"/>
      <c r="Q14" s="64">
        <v>50</v>
      </c>
      <c r="R14" s="64"/>
      <c r="S14" s="64"/>
      <c r="T14" s="64">
        <v>50</v>
      </c>
      <c r="U14" s="71">
        <v>140</v>
      </c>
      <c r="V14" s="64">
        <v>3</v>
      </c>
      <c r="W14" s="288" t="s">
        <v>525</v>
      </c>
      <c r="X14" s="64"/>
    </row>
    <row r="15" spans="1:25" ht="22.5" x14ac:dyDescent="0.25">
      <c r="A15" s="73"/>
      <c r="B15" s="73">
        <v>3</v>
      </c>
      <c r="C15" s="73" t="s">
        <v>493</v>
      </c>
      <c r="D15" s="286">
        <v>45050</v>
      </c>
      <c r="E15" s="327" t="s">
        <v>510</v>
      </c>
      <c r="F15" s="66"/>
      <c r="G15" s="74">
        <v>200</v>
      </c>
      <c r="H15" s="68"/>
      <c r="I15" s="61"/>
      <c r="J15" s="70">
        <v>5</v>
      </c>
      <c r="K15" s="64">
        <v>25</v>
      </c>
      <c r="L15" s="64">
        <v>-15</v>
      </c>
      <c r="M15" s="64">
        <v>20</v>
      </c>
      <c r="N15" s="64">
        <v>30</v>
      </c>
      <c r="O15" s="64"/>
      <c r="P15" s="64"/>
      <c r="Q15" s="64">
        <v>50</v>
      </c>
      <c r="R15" s="64"/>
      <c r="S15" s="64"/>
      <c r="T15" s="64">
        <v>50</v>
      </c>
      <c r="U15" s="71">
        <v>140</v>
      </c>
      <c r="V15" s="64">
        <v>4</v>
      </c>
      <c r="W15" s="288" t="s">
        <v>526</v>
      </c>
      <c r="X15" s="64"/>
    </row>
    <row r="16" spans="1:25" ht="22.5" x14ac:dyDescent="0.25">
      <c r="A16" s="73"/>
      <c r="B16" s="73">
        <v>3</v>
      </c>
      <c r="C16" s="73" t="s">
        <v>495</v>
      </c>
      <c r="D16" s="286">
        <v>45061</v>
      </c>
      <c r="E16" s="327" t="s">
        <v>510</v>
      </c>
      <c r="F16" s="66"/>
      <c r="G16" s="74">
        <v>200</v>
      </c>
      <c r="H16" s="68"/>
      <c r="I16" s="61"/>
      <c r="J16" s="70">
        <v>10</v>
      </c>
      <c r="K16" s="64">
        <v>20</v>
      </c>
      <c r="L16" s="64">
        <v>-5</v>
      </c>
      <c r="M16" s="64">
        <v>30</v>
      </c>
      <c r="N16" s="64">
        <v>25</v>
      </c>
      <c r="O16" s="64"/>
      <c r="P16" s="64"/>
      <c r="Q16" s="64">
        <v>50</v>
      </c>
      <c r="R16" s="64"/>
      <c r="S16" s="64"/>
      <c r="T16" s="64">
        <v>50</v>
      </c>
      <c r="U16" s="71">
        <v>140</v>
      </c>
      <c r="V16" s="64">
        <v>3</v>
      </c>
      <c r="W16" s="288" t="s">
        <v>527</v>
      </c>
      <c r="X16" s="64"/>
    </row>
    <row r="17" spans="1:24" ht="22.5" x14ac:dyDescent="0.25">
      <c r="A17" s="73"/>
      <c r="B17" s="73">
        <v>4</v>
      </c>
      <c r="C17" s="73" t="s">
        <v>496</v>
      </c>
      <c r="D17" s="286">
        <v>45062</v>
      </c>
      <c r="E17" s="327" t="s">
        <v>530</v>
      </c>
      <c r="F17" s="66"/>
      <c r="G17" s="74">
        <v>200</v>
      </c>
      <c r="H17" s="68"/>
      <c r="I17" s="61"/>
      <c r="J17" s="70">
        <v>10</v>
      </c>
      <c r="K17" s="64">
        <v>20</v>
      </c>
      <c r="L17" s="64">
        <v>-10</v>
      </c>
      <c r="M17" s="64">
        <v>20</v>
      </c>
      <c r="N17" s="64">
        <v>30</v>
      </c>
      <c r="O17" s="64"/>
      <c r="P17" s="64"/>
      <c r="Q17" s="64">
        <v>50</v>
      </c>
      <c r="R17" s="64"/>
      <c r="S17" s="64"/>
      <c r="T17" s="64">
        <v>50</v>
      </c>
      <c r="U17" s="71">
        <v>140</v>
      </c>
      <c r="V17" s="64">
        <v>2</v>
      </c>
      <c r="W17" s="288" t="s">
        <v>531</v>
      </c>
      <c r="X17" s="64"/>
    </row>
    <row r="18" spans="1:24" ht="22.5" x14ac:dyDescent="0.25">
      <c r="A18" s="73"/>
      <c r="B18" s="73">
        <v>3</v>
      </c>
      <c r="C18" s="73" t="s">
        <v>497</v>
      </c>
      <c r="D18" s="286">
        <v>45063</v>
      </c>
      <c r="E18" s="327" t="s">
        <v>532</v>
      </c>
      <c r="F18" s="66"/>
      <c r="G18" s="74">
        <v>200</v>
      </c>
      <c r="H18" s="68"/>
      <c r="I18" s="61"/>
      <c r="J18" s="70">
        <v>5</v>
      </c>
      <c r="K18" s="64">
        <v>20</v>
      </c>
      <c r="L18" s="64">
        <v>-15</v>
      </c>
      <c r="M18" s="64">
        <v>20</v>
      </c>
      <c r="N18" s="64">
        <v>30</v>
      </c>
      <c r="O18" s="64"/>
      <c r="P18" s="64"/>
      <c r="Q18" s="64">
        <v>80</v>
      </c>
      <c r="R18" s="64"/>
      <c r="S18" s="64"/>
      <c r="T18" s="64">
        <v>50</v>
      </c>
      <c r="U18" s="71">
        <v>140</v>
      </c>
      <c r="V18" s="64">
        <v>2</v>
      </c>
      <c r="W18" s="288" t="s">
        <v>533</v>
      </c>
      <c r="X18" s="64"/>
    </row>
    <row r="19" spans="1:24" ht="45" x14ac:dyDescent="0.25">
      <c r="A19" s="73"/>
      <c r="B19" s="73">
        <v>3</v>
      </c>
      <c r="C19" s="73" t="s">
        <v>498</v>
      </c>
      <c r="D19" s="286">
        <v>45066</v>
      </c>
      <c r="E19" s="327" t="s">
        <v>532</v>
      </c>
      <c r="F19" s="66"/>
      <c r="G19" s="74">
        <v>200</v>
      </c>
      <c r="H19" s="68"/>
      <c r="I19" s="61"/>
      <c r="J19" s="70">
        <v>10</v>
      </c>
      <c r="K19" s="64">
        <v>20</v>
      </c>
      <c r="L19" s="64">
        <v>-10</v>
      </c>
      <c r="M19" s="64">
        <v>30</v>
      </c>
      <c r="N19" s="64">
        <v>25</v>
      </c>
      <c r="O19" s="64"/>
      <c r="P19" s="64"/>
      <c r="Q19" s="64">
        <v>80</v>
      </c>
      <c r="R19" s="64"/>
      <c r="S19" s="64"/>
      <c r="T19" s="64">
        <v>50</v>
      </c>
      <c r="U19" s="71">
        <v>140</v>
      </c>
      <c r="V19" s="64">
        <v>3</v>
      </c>
      <c r="W19" s="288" t="s">
        <v>534</v>
      </c>
      <c r="X19" s="64"/>
    </row>
    <row r="20" spans="1:24" ht="33.75" x14ac:dyDescent="0.25">
      <c r="A20" s="73"/>
      <c r="B20" s="73">
        <v>3</v>
      </c>
      <c r="C20" s="73" t="s">
        <v>499</v>
      </c>
      <c r="D20" s="286">
        <v>45066</v>
      </c>
      <c r="E20" s="327" t="s">
        <v>532</v>
      </c>
      <c r="F20" s="66"/>
      <c r="G20" s="74">
        <v>200</v>
      </c>
      <c r="H20" s="68"/>
      <c r="I20" s="61"/>
      <c r="J20" s="70">
        <v>10</v>
      </c>
      <c r="K20" s="64">
        <v>20</v>
      </c>
      <c r="L20" s="64">
        <v>-10</v>
      </c>
      <c r="M20" s="64">
        <v>30</v>
      </c>
      <c r="N20" s="64">
        <v>25</v>
      </c>
      <c r="O20" s="64"/>
      <c r="P20" s="64"/>
      <c r="Q20" s="64">
        <v>80</v>
      </c>
      <c r="R20" s="64"/>
      <c r="S20" s="64"/>
      <c r="T20" s="64">
        <v>50</v>
      </c>
      <c r="U20" s="71">
        <v>140</v>
      </c>
      <c r="V20" s="64">
        <v>4</v>
      </c>
      <c r="W20" s="288" t="s">
        <v>535</v>
      </c>
      <c r="X20" s="64"/>
    </row>
    <row r="21" spans="1:24" ht="22.5" x14ac:dyDescent="0.25">
      <c r="A21" s="73"/>
      <c r="B21" s="73">
        <v>3</v>
      </c>
      <c r="C21" s="73" t="s">
        <v>500</v>
      </c>
      <c r="D21" s="286">
        <v>45069</v>
      </c>
      <c r="E21" s="327" t="s">
        <v>532</v>
      </c>
      <c r="F21" s="66"/>
      <c r="G21" s="74">
        <v>200</v>
      </c>
      <c r="H21" s="68"/>
      <c r="I21" s="61"/>
      <c r="J21" s="70">
        <v>10</v>
      </c>
      <c r="K21" s="64">
        <v>20</v>
      </c>
      <c r="L21" s="64">
        <v>-5</v>
      </c>
      <c r="M21" s="64">
        <v>30</v>
      </c>
      <c r="N21" s="64">
        <v>25</v>
      </c>
      <c r="O21" s="64"/>
      <c r="P21" s="64"/>
      <c r="Q21" s="64">
        <v>80</v>
      </c>
      <c r="R21" s="64"/>
      <c r="S21" s="64"/>
      <c r="T21" s="64">
        <v>50</v>
      </c>
      <c r="U21" s="71">
        <v>140</v>
      </c>
      <c r="V21" s="64">
        <v>4</v>
      </c>
      <c r="W21" s="288" t="s">
        <v>536</v>
      </c>
      <c r="X21" s="64"/>
    </row>
    <row r="22" spans="1:24" x14ac:dyDescent="0.25">
      <c r="A22" s="73"/>
      <c r="B22" s="73">
        <v>3</v>
      </c>
      <c r="C22" s="73" t="s">
        <v>501</v>
      </c>
      <c r="D22" s="286">
        <v>45072</v>
      </c>
      <c r="E22" s="327" t="s">
        <v>532</v>
      </c>
      <c r="F22" s="66"/>
      <c r="G22" s="74">
        <v>200</v>
      </c>
      <c r="H22" s="68"/>
      <c r="I22" s="61"/>
      <c r="J22" s="70">
        <v>10</v>
      </c>
      <c r="K22" s="64">
        <v>20</v>
      </c>
      <c r="L22" s="64">
        <v>-10</v>
      </c>
      <c r="M22" s="64">
        <v>30</v>
      </c>
      <c r="N22" s="64">
        <v>25</v>
      </c>
      <c r="O22" s="64"/>
      <c r="P22" s="64"/>
      <c r="Q22" s="64">
        <v>80</v>
      </c>
      <c r="R22" s="64"/>
      <c r="S22" s="64"/>
      <c r="T22" s="64">
        <v>50</v>
      </c>
      <c r="U22" s="71">
        <v>140</v>
      </c>
      <c r="V22" s="64">
        <v>4</v>
      </c>
      <c r="W22" s="288"/>
      <c r="X22" s="64"/>
    </row>
    <row r="23" spans="1:24" ht="33.75" x14ac:dyDescent="0.25">
      <c r="A23" s="73"/>
      <c r="B23" s="73">
        <v>3</v>
      </c>
      <c r="C23" s="73" t="s">
        <v>502</v>
      </c>
      <c r="D23" s="286">
        <v>45083</v>
      </c>
      <c r="E23" s="327" t="s">
        <v>532</v>
      </c>
      <c r="F23" s="66"/>
      <c r="G23" s="74">
        <v>200</v>
      </c>
      <c r="H23" s="68"/>
      <c r="I23" s="61"/>
      <c r="J23" s="70">
        <v>10</v>
      </c>
      <c r="K23" s="64">
        <v>20</v>
      </c>
      <c r="L23" s="64">
        <v>-10</v>
      </c>
      <c r="M23" s="64">
        <v>25</v>
      </c>
      <c r="N23" s="64">
        <v>30</v>
      </c>
      <c r="O23" s="64"/>
      <c r="P23" s="64"/>
      <c r="Q23" s="64">
        <v>80</v>
      </c>
      <c r="R23" s="64"/>
      <c r="S23" s="64"/>
      <c r="T23" s="64">
        <v>50</v>
      </c>
      <c r="U23" s="71">
        <v>140</v>
      </c>
      <c r="V23" s="64">
        <v>3</v>
      </c>
      <c r="W23" s="288" t="s">
        <v>537</v>
      </c>
      <c r="X23" s="64"/>
    </row>
    <row r="24" spans="1:24" x14ac:dyDescent="0.25">
      <c r="A24" s="73"/>
      <c r="B24" s="73">
        <v>3</v>
      </c>
      <c r="C24" s="73" t="s">
        <v>502</v>
      </c>
      <c r="D24" s="286">
        <v>45083</v>
      </c>
      <c r="E24" s="327" t="s">
        <v>532</v>
      </c>
      <c r="F24" s="66"/>
      <c r="G24" s="74">
        <v>200</v>
      </c>
      <c r="H24" s="68"/>
      <c r="I24" s="61"/>
      <c r="J24" s="70">
        <v>10</v>
      </c>
      <c r="K24" s="64">
        <v>20</v>
      </c>
      <c r="L24" s="64">
        <v>-10</v>
      </c>
      <c r="M24" s="64">
        <v>20</v>
      </c>
      <c r="N24" s="64">
        <v>30</v>
      </c>
      <c r="O24" s="64"/>
      <c r="P24" s="64"/>
      <c r="Q24" s="64">
        <v>80</v>
      </c>
      <c r="R24" s="64"/>
      <c r="S24" s="64"/>
      <c r="T24" s="64">
        <v>50</v>
      </c>
      <c r="U24" s="71">
        <v>140</v>
      </c>
      <c r="V24" s="64">
        <v>1</v>
      </c>
      <c r="W24" s="288" t="s">
        <v>538</v>
      </c>
      <c r="X24" s="64"/>
    </row>
    <row r="25" spans="1:24" x14ac:dyDescent="0.25">
      <c r="A25" s="73"/>
      <c r="B25" s="73"/>
      <c r="C25" s="73"/>
      <c r="D25" s="61"/>
      <c r="E25" s="327"/>
      <c r="F25" s="66"/>
      <c r="G25" s="74"/>
      <c r="H25" s="68"/>
      <c r="I25" s="61"/>
      <c r="J25" s="70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71"/>
      <c r="V25" s="64"/>
      <c r="W25" s="288"/>
      <c r="X25" s="64"/>
    </row>
    <row r="26" spans="1:24" x14ac:dyDescent="0.25">
      <c r="A26" s="73"/>
      <c r="B26" s="73"/>
      <c r="C26" s="73"/>
      <c r="D26" s="61"/>
      <c r="E26" s="327"/>
      <c r="F26" s="66"/>
      <c r="G26" s="74"/>
      <c r="H26" s="68"/>
      <c r="I26" s="61"/>
      <c r="J26" s="70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71"/>
      <c r="V26" s="64"/>
      <c r="W26" s="288"/>
      <c r="X26" s="64"/>
    </row>
    <row r="27" spans="1:24" x14ac:dyDescent="0.25">
      <c r="A27" s="73"/>
      <c r="B27" s="73"/>
      <c r="C27" s="73"/>
      <c r="D27" s="61"/>
      <c r="E27" s="327"/>
      <c r="F27" s="66"/>
      <c r="G27" s="74"/>
      <c r="H27" s="68"/>
      <c r="I27" s="61"/>
      <c r="J27" s="70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71"/>
      <c r="V27" s="64"/>
      <c r="W27" s="288"/>
      <c r="X27" s="64"/>
    </row>
    <row r="28" spans="1:24" x14ac:dyDescent="0.25">
      <c r="A28" s="73"/>
      <c r="B28" s="73"/>
      <c r="C28" s="73"/>
      <c r="D28" s="61"/>
      <c r="E28" s="327"/>
      <c r="F28" s="66"/>
      <c r="G28" s="74"/>
      <c r="H28" s="68"/>
      <c r="I28" s="61"/>
      <c r="J28" s="70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71"/>
      <c r="V28" s="64"/>
      <c r="W28" s="288"/>
      <c r="X28" s="64"/>
    </row>
    <row r="29" spans="1:24" x14ac:dyDescent="0.25">
      <c r="A29" s="73"/>
      <c r="B29" s="73"/>
      <c r="C29" s="73"/>
      <c r="D29" s="61"/>
      <c r="E29" s="327"/>
      <c r="F29" s="66"/>
      <c r="G29" s="74"/>
      <c r="H29" s="68"/>
      <c r="I29" s="61"/>
      <c r="J29" s="70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71"/>
      <c r="V29" s="64"/>
      <c r="W29" s="288"/>
      <c r="X29" s="64"/>
    </row>
    <row r="30" spans="1:24" x14ac:dyDescent="0.25">
      <c r="A30" s="73"/>
      <c r="B30" s="73"/>
      <c r="C30" s="73"/>
      <c r="D30" s="61"/>
      <c r="E30" s="327"/>
      <c r="F30" s="66"/>
      <c r="G30" s="74"/>
      <c r="H30" s="68"/>
      <c r="I30" s="61"/>
      <c r="J30" s="70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71"/>
      <c r="V30" s="64"/>
      <c r="W30" s="288"/>
      <c r="X30" s="64"/>
    </row>
    <row r="31" spans="1:24" x14ac:dyDescent="0.25">
      <c r="A31" s="73"/>
      <c r="B31" s="73"/>
      <c r="C31" s="73"/>
      <c r="D31" s="61"/>
      <c r="E31" s="327"/>
      <c r="F31" s="66"/>
      <c r="G31" s="74"/>
      <c r="H31" s="68"/>
      <c r="I31" s="61"/>
      <c r="J31" s="70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71"/>
      <c r="V31" s="64"/>
      <c r="W31" s="288"/>
      <c r="X31" s="64"/>
    </row>
    <row r="32" spans="1:24" x14ac:dyDescent="0.25">
      <c r="A32" s="73"/>
      <c r="B32" s="73"/>
      <c r="C32" s="73"/>
      <c r="D32" s="61"/>
      <c r="E32" s="327"/>
      <c r="F32" s="66"/>
      <c r="G32" s="74"/>
      <c r="H32" s="68"/>
      <c r="I32" s="61"/>
      <c r="J32" s="70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71"/>
      <c r="V32" s="64"/>
      <c r="W32" s="288"/>
      <c r="X32" s="64"/>
    </row>
    <row r="33" spans="1:24" x14ac:dyDescent="0.25">
      <c r="A33" s="73"/>
      <c r="B33" s="73"/>
      <c r="C33" s="73"/>
      <c r="D33" s="61"/>
      <c r="E33" s="327"/>
      <c r="F33" s="66"/>
      <c r="G33" s="74"/>
      <c r="H33" s="68"/>
      <c r="I33" s="61"/>
      <c r="J33" s="70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71"/>
      <c r="V33" s="64"/>
      <c r="W33" s="288"/>
      <c r="X33" s="64"/>
    </row>
    <row r="34" spans="1:24" x14ac:dyDescent="0.25">
      <c r="A34" s="73"/>
      <c r="B34" s="73"/>
      <c r="C34" s="73"/>
      <c r="D34" s="61"/>
      <c r="E34" s="327"/>
      <c r="F34" s="66"/>
      <c r="G34" s="74"/>
      <c r="H34" s="68"/>
      <c r="I34" s="61"/>
      <c r="J34" s="70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71"/>
      <c r="V34" s="64"/>
      <c r="W34" s="288"/>
      <c r="X34" s="64"/>
    </row>
    <row r="35" spans="1:24" x14ac:dyDescent="0.25">
      <c r="A35" s="73"/>
      <c r="B35" s="73"/>
      <c r="C35" s="73"/>
      <c r="D35" s="61"/>
      <c r="E35" s="327"/>
      <c r="F35" s="66"/>
      <c r="G35" s="74"/>
      <c r="H35" s="68"/>
      <c r="I35" s="61"/>
      <c r="J35" s="70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71"/>
      <c r="V35" s="64"/>
      <c r="W35" s="288"/>
      <c r="X35" s="64"/>
    </row>
    <row r="36" spans="1:24" x14ac:dyDescent="0.25">
      <c r="A36" s="73"/>
      <c r="B36" s="73"/>
      <c r="C36" s="73"/>
      <c r="D36" s="61"/>
      <c r="E36" s="327"/>
      <c r="F36" s="66"/>
      <c r="G36" s="74"/>
      <c r="H36" s="68"/>
      <c r="I36" s="61"/>
      <c r="J36" s="70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71"/>
      <c r="V36" s="64"/>
      <c r="W36" s="288"/>
      <c r="X36" s="64"/>
    </row>
    <row r="37" spans="1:24" x14ac:dyDescent="0.25">
      <c r="A37" s="73"/>
      <c r="B37" s="73"/>
      <c r="C37" s="73"/>
      <c r="D37" s="61"/>
      <c r="E37" s="327"/>
      <c r="F37" s="66"/>
      <c r="G37" s="74"/>
      <c r="H37" s="68"/>
      <c r="I37" s="61"/>
      <c r="J37" s="70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71"/>
      <c r="V37" s="64"/>
      <c r="W37" s="288"/>
      <c r="X37" s="64"/>
    </row>
    <row r="38" spans="1:24" x14ac:dyDescent="0.25">
      <c r="A38" s="73"/>
      <c r="B38" s="73"/>
      <c r="C38" s="73"/>
      <c r="D38" s="61"/>
      <c r="E38" s="327"/>
      <c r="F38" s="66"/>
      <c r="G38" s="74"/>
      <c r="H38" s="68"/>
      <c r="I38" s="61"/>
      <c r="J38" s="70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71"/>
      <c r="V38" s="64"/>
      <c r="W38" s="288"/>
      <c r="X38" s="64"/>
    </row>
    <row r="39" spans="1:24" x14ac:dyDescent="0.25">
      <c r="A39" s="73"/>
      <c r="B39" s="73"/>
      <c r="C39" s="73"/>
      <c r="D39" s="61"/>
      <c r="E39" s="327"/>
      <c r="F39" s="66"/>
      <c r="G39" s="74"/>
      <c r="H39" s="68"/>
      <c r="I39" s="61"/>
      <c r="J39" s="70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71"/>
      <c r="V39" s="64"/>
      <c r="W39" s="288"/>
      <c r="X39" s="64"/>
    </row>
    <row r="40" spans="1:24" x14ac:dyDescent="0.25">
      <c r="A40" s="73"/>
      <c r="B40" s="73"/>
      <c r="C40" s="73"/>
      <c r="D40" s="61"/>
      <c r="E40" s="327"/>
      <c r="F40" s="66"/>
      <c r="G40" s="74"/>
      <c r="H40" s="68"/>
      <c r="I40" s="61"/>
      <c r="J40" s="70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71"/>
      <c r="V40" s="64"/>
      <c r="W40" s="288"/>
      <c r="X40" s="64"/>
    </row>
    <row r="41" spans="1:24" x14ac:dyDescent="0.25">
      <c r="A41" s="73"/>
      <c r="B41" s="73"/>
      <c r="C41" s="73"/>
      <c r="D41" s="61"/>
      <c r="E41" s="327"/>
      <c r="F41" s="66"/>
      <c r="G41" s="74"/>
      <c r="H41" s="68"/>
      <c r="I41" s="61"/>
      <c r="J41" s="70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71"/>
      <c r="V41" s="64"/>
      <c r="W41" s="288"/>
      <c r="X41" s="64"/>
    </row>
    <row r="42" spans="1:24" x14ac:dyDescent="0.25">
      <c r="A42" s="88"/>
      <c r="B42" s="88"/>
      <c r="C42" s="88"/>
      <c r="D42" s="89"/>
      <c r="E42" s="328"/>
      <c r="F42" s="93"/>
      <c r="G42" s="90"/>
      <c r="H42" s="94"/>
      <c r="I42" s="89"/>
      <c r="J42" s="95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7"/>
      <c r="V42" s="96"/>
      <c r="W42" s="324"/>
      <c r="X42" s="96"/>
    </row>
  </sheetData>
  <mergeCells count="4">
    <mergeCell ref="A1:E1"/>
    <mergeCell ref="J1:U1"/>
    <mergeCell ref="H1:I1"/>
    <mergeCell ref="V1:Y1"/>
  </mergeCells>
  <phoneticPr fontId="3" type="noConversion"/>
  <conditionalFormatting sqref="V1:V8 V10:V1048576">
    <cfRule type="cellIs" dxfId="31" priority="1" operator="equal">
      <formula>3</formula>
    </cfRule>
    <cfRule type="cellIs" dxfId="30" priority="2" operator="equal">
      <formula>2</formula>
    </cfRule>
    <cfRule type="cellIs" dxfId="29" priority="3" operator="equal">
      <formula>4</formula>
    </cfRule>
    <cfRule type="cellIs" dxfId="28" priority="4" operator="equal">
      <formula>1</formula>
    </cfRule>
  </conditionalFormatting>
  <dataValidations count="1">
    <dataValidation type="list" allowBlank="1" showInputMessage="1" showErrorMessage="1" sqref="B3:B42" xr:uid="{2F7E9E01-93B1-42F3-BFBF-BFFE7CF686A7}">
      <formula1>Setup_n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21E711-0DE4-4964-890E-1E3226E3B381}">
          <x14:formula1>
            <xm:f>Soluciones_propiedades!$A$1:$A$26</xm:f>
          </x14:formula1>
          <xm:sqref>C3:C42</xm:sqref>
        </x14:dataValidation>
        <x14:dataValidation type="list" allowBlank="1" showInputMessage="1" showErrorMessage="1" xr:uid="{0587A8E2-6033-4D38-AE36-A3EACB8190E1}">
          <x14:formula1>
            <xm:f>Referencias!$B$8:$B$14</xm:f>
          </x14:formula1>
          <xm:sqref>X3:X42</xm:sqref>
        </x14:dataValidation>
        <x14:dataValidation type="list" allowBlank="1" showInputMessage="1" showErrorMessage="1" xr:uid="{8382E80F-2886-4E8D-B684-9CCD6BE81397}">
          <x14:formula1>
            <xm:f>Referencias!$F$2:$F$5</xm:f>
          </x14:formula1>
          <xm:sqref>V3:V8 V10:V42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EB0D-7370-4894-8699-53296B28A880}">
  <sheetPr codeName="Sheet5"/>
  <dimension ref="A1:I14"/>
  <sheetViews>
    <sheetView showGridLines="0" zoomScale="70" zoomScaleNormal="70" workbookViewId="0">
      <selection activeCell="D12" sqref="D12"/>
    </sheetView>
  </sheetViews>
  <sheetFormatPr defaultColWidth="11.42578125" defaultRowHeight="15" x14ac:dyDescent="0.25"/>
  <cols>
    <col min="1" max="1" width="8.7109375" customWidth="1"/>
    <col min="2" max="2" width="28.140625" customWidth="1"/>
    <col min="3" max="3" width="51.85546875" customWidth="1"/>
    <col min="4" max="4" width="37" customWidth="1"/>
    <col min="7" max="7" width="28" customWidth="1"/>
    <col min="8" max="8" width="55.5703125" customWidth="1"/>
    <col min="9" max="9" width="38.28515625" customWidth="1"/>
  </cols>
  <sheetData>
    <row r="1" spans="1:9" ht="19.5" thickBot="1" x14ac:dyDescent="0.3">
      <c r="A1" s="445" t="s">
        <v>222</v>
      </c>
      <c r="B1" s="446"/>
      <c r="C1" s="446"/>
      <c r="D1" s="447"/>
      <c r="F1" s="445" t="s">
        <v>223</v>
      </c>
      <c r="G1" s="446"/>
      <c r="H1" s="446"/>
      <c r="I1" s="447"/>
    </row>
    <row r="2" spans="1:9" ht="64.150000000000006" customHeight="1" thickBot="1" x14ac:dyDescent="0.3">
      <c r="A2" s="50">
        <v>1</v>
      </c>
      <c r="B2" s="51" t="s">
        <v>224</v>
      </c>
      <c r="C2" s="269" t="s">
        <v>225</v>
      </c>
      <c r="D2" s="449" t="s">
        <v>226</v>
      </c>
      <c r="F2" s="50">
        <v>1</v>
      </c>
      <c r="G2" s="51" t="s">
        <v>227</v>
      </c>
      <c r="H2" s="289" t="s">
        <v>228</v>
      </c>
      <c r="I2" s="449" t="s">
        <v>229</v>
      </c>
    </row>
    <row r="3" spans="1:9" ht="62.45" customHeight="1" thickBot="1" x14ac:dyDescent="0.3">
      <c r="A3" s="52">
        <v>2</v>
      </c>
      <c r="B3" s="53" t="s">
        <v>230</v>
      </c>
      <c r="C3" s="271" t="s">
        <v>231</v>
      </c>
      <c r="D3" s="450"/>
      <c r="F3" s="52">
        <v>2</v>
      </c>
      <c r="G3" s="53" t="s">
        <v>232</v>
      </c>
      <c r="H3" s="290" t="s">
        <v>233</v>
      </c>
      <c r="I3" s="450"/>
    </row>
    <row r="4" spans="1:9" ht="69" customHeight="1" thickBot="1" x14ac:dyDescent="0.3">
      <c r="A4" s="56">
        <v>3</v>
      </c>
      <c r="B4" s="57" t="s">
        <v>234</v>
      </c>
      <c r="C4" s="270" t="s">
        <v>235</v>
      </c>
      <c r="D4" s="59" t="s">
        <v>236</v>
      </c>
      <c r="F4" s="56">
        <v>3</v>
      </c>
      <c r="G4" s="57" t="s">
        <v>237</v>
      </c>
      <c r="H4" s="291" t="s">
        <v>238</v>
      </c>
      <c r="I4" s="59" t="s">
        <v>239</v>
      </c>
    </row>
    <row r="5" spans="1:9" ht="57.6" customHeight="1" thickBot="1" x14ac:dyDescent="0.3">
      <c r="A5" s="54">
        <v>4</v>
      </c>
      <c r="B5" s="55" t="s">
        <v>240</v>
      </c>
      <c r="C5" s="268" t="s">
        <v>241</v>
      </c>
      <c r="D5" s="58" t="s">
        <v>242</v>
      </c>
      <c r="F5" s="54">
        <v>4</v>
      </c>
      <c r="G5" s="55" t="s">
        <v>243</v>
      </c>
      <c r="H5" s="292" t="s">
        <v>244</v>
      </c>
      <c r="I5" s="58" t="s">
        <v>245</v>
      </c>
    </row>
    <row r="7" spans="1:9" ht="24.95" customHeight="1" x14ac:dyDescent="0.25">
      <c r="A7" s="448" t="s">
        <v>426</v>
      </c>
      <c r="B7" s="448"/>
      <c r="C7" s="448"/>
      <c r="D7" s="448"/>
      <c r="F7" s="448" t="s">
        <v>425</v>
      </c>
      <c r="G7" s="448"/>
      <c r="H7" s="448"/>
      <c r="I7" s="448"/>
    </row>
    <row r="8" spans="1:9" ht="35.1" customHeight="1" x14ac:dyDescent="0.25">
      <c r="A8" s="305" t="s">
        <v>433</v>
      </c>
      <c r="B8" s="305" t="s">
        <v>428</v>
      </c>
      <c r="C8" s="306" t="s">
        <v>447</v>
      </c>
      <c r="D8" s="305" t="s">
        <v>451</v>
      </c>
      <c r="F8" s="305" t="s">
        <v>433</v>
      </c>
      <c r="G8" s="305" t="s">
        <v>456</v>
      </c>
      <c r="H8" s="306" t="s">
        <v>447</v>
      </c>
      <c r="I8" s="305" t="s">
        <v>451</v>
      </c>
    </row>
    <row r="9" spans="1:9" ht="35.1" customHeight="1" x14ac:dyDescent="0.25">
      <c r="A9" s="298" t="s">
        <v>434</v>
      </c>
      <c r="B9" s="298" t="s">
        <v>427</v>
      </c>
      <c r="C9" s="297" t="s">
        <v>440</v>
      </c>
      <c r="D9" s="315" t="s">
        <v>448</v>
      </c>
      <c r="F9" s="298" t="s">
        <v>434</v>
      </c>
      <c r="G9" s="298" t="s">
        <v>457</v>
      </c>
      <c r="H9" s="297" t="s">
        <v>440</v>
      </c>
      <c r="I9" s="315" t="s">
        <v>448</v>
      </c>
    </row>
    <row r="10" spans="1:9" ht="35.1" customHeight="1" x14ac:dyDescent="0.25">
      <c r="A10" s="296" t="s">
        <v>435</v>
      </c>
      <c r="B10" s="296" t="s">
        <v>429</v>
      </c>
      <c r="C10" s="295" t="s">
        <v>441</v>
      </c>
      <c r="D10" s="316" t="s">
        <v>448</v>
      </c>
      <c r="F10" s="296" t="s">
        <v>435</v>
      </c>
      <c r="G10" s="296" t="s">
        <v>458</v>
      </c>
      <c r="H10" s="295" t="s">
        <v>441</v>
      </c>
      <c r="I10" s="316" t="s">
        <v>448</v>
      </c>
    </row>
    <row r="11" spans="1:9" ht="35.1" customHeight="1" x14ac:dyDescent="0.25">
      <c r="A11" s="303" t="s">
        <v>436</v>
      </c>
      <c r="B11" s="303" t="s">
        <v>431</v>
      </c>
      <c r="C11" s="304" t="s">
        <v>442</v>
      </c>
      <c r="D11" s="317" t="s">
        <v>452</v>
      </c>
      <c r="F11" s="303" t="s">
        <v>436</v>
      </c>
      <c r="G11" s="304" t="s">
        <v>459</v>
      </c>
      <c r="H11" s="304" t="s">
        <v>442</v>
      </c>
      <c r="I11" s="317" t="s">
        <v>463</v>
      </c>
    </row>
    <row r="12" spans="1:9" ht="35.1" customHeight="1" x14ac:dyDescent="0.25">
      <c r="A12" s="294" t="s">
        <v>437</v>
      </c>
      <c r="B12" s="294" t="s">
        <v>446</v>
      </c>
      <c r="C12" s="293" t="s">
        <v>443</v>
      </c>
      <c r="D12" s="318" t="s">
        <v>449</v>
      </c>
      <c r="F12" s="294" t="s">
        <v>437</v>
      </c>
      <c r="G12" s="294" t="s">
        <v>460</v>
      </c>
      <c r="H12" s="293" t="s">
        <v>443</v>
      </c>
      <c r="I12" s="318" t="s">
        <v>464</v>
      </c>
    </row>
    <row r="13" spans="1:9" ht="35.1" customHeight="1" x14ac:dyDescent="0.25">
      <c r="A13" s="301" t="s">
        <v>438</v>
      </c>
      <c r="B13" s="301" t="s">
        <v>432</v>
      </c>
      <c r="C13" s="302" t="s">
        <v>444</v>
      </c>
      <c r="D13" s="319" t="s">
        <v>450</v>
      </c>
      <c r="F13" s="301" t="s">
        <v>438</v>
      </c>
      <c r="G13" s="301" t="s">
        <v>462</v>
      </c>
      <c r="H13" s="302" t="s">
        <v>444</v>
      </c>
      <c r="I13" s="319" t="s">
        <v>450</v>
      </c>
    </row>
    <row r="14" spans="1:9" ht="35.1" customHeight="1" x14ac:dyDescent="0.25">
      <c r="A14" s="300" t="s">
        <v>439</v>
      </c>
      <c r="B14" s="300" t="s">
        <v>430</v>
      </c>
      <c r="C14" s="299" t="s">
        <v>445</v>
      </c>
      <c r="D14" s="320" t="s">
        <v>450</v>
      </c>
      <c r="F14" s="300" t="s">
        <v>439</v>
      </c>
      <c r="G14" s="300" t="s">
        <v>461</v>
      </c>
      <c r="H14" s="299" t="s">
        <v>445</v>
      </c>
      <c r="I14" s="320" t="s">
        <v>450</v>
      </c>
    </row>
  </sheetData>
  <mergeCells count="6">
    <mergeCell ref="F1:I1"/>
    <mergeCell ref="A7:D7"/>
    <mergeCell ref="F7:I7"/>
    <mergeCell ref="A1:D1"/>
    <mergeCell ref="D2:D3"/>
    <mergeCell ref="I2:I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34f2fd1-cc24-4581-a534-8dbdab6aeace" xsi:nil="true"/>
    <lcf76f155ced4ddcb4097134ff3c332f xmlns="dc1477da-7d42-48a9-9520-67dbcc67deb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0FEDAF317ECE47B903242BE85E6951" ma:contentTypeVersion="13" ma:contentTypeDescription="Create a new document." ma:contentTypeScope="" ma:versionID="c5bd9cbcb961305cc16e2e568398f379">
  <xsd:schema xmlns:xsd="http://www.w3.org/2001/XMLSchema" xmlns:xs="http://www.w3.org/2001/XMLSchema" xmlns:p="http://schemas.microsoft.com/office/2006/metadata/properties" xmlns:ns2="dc1477da-7d42-48a9-9520-67dbcc67deb8" xmlns:ns3="234f2fd1-cc24-4581-a534-8dbdab6aeace" targetNamespace="http://schemas.microsoft.com/office/2006/metadata/properties" ma:root="true" ma:fieldsID="bb90baa9496f3a7ac0f718549dcd760e" ns2:_="" ns3:_="">
    <xsd:import namespace="dc1477da-7d42-48a9-9520-67dbcc67deb8"/>
    <xsd:import namespace="234f2fd1-cc24-4581-a534-8dbdab6aeace"/>
    <xsd:element name="properties">
      <xsd:complexType>
        <xsd:sequence>
          <xsd:element name="documentManagement">
            <xsd:complexType>
              <xsd:all>
                <xsd:element ref="ns2:MediaServiceBillingMetadata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477da-7d42-48a9-9520-67dbcc67deb8" elementFormDefault="qualified">
    <xsd:import namespace="http://schemas.microsoft.com/office/2006/documentManagement/types"/>
    <xsd:import namespace="http://schemas.microsoft.com/office/infopath/2007/PartnerControls"/>
    <xsd:element name="MediaServiceBillingMetadata" ma:index="8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1e5a79f-6de9-4274-a58b-6eb954feef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4f2fd1-cc24-4581-a534-8dbdab6aeace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a9472f0-47b4-49e7-9b16-c337939ad977}" ma:internalName="TaxCatchAll" ma:showField="CatchAllData" ma:web="234f2fd1-cc24-4581-a534-8dbdab6aeac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94CD1E-09FA-4500-AE49-0B530E70D3D3}">
  <ds:schemaRefs>
    <ds:schemaRef ds:uri="http://schemas.microsoft.com/office/2006/metadata/properties"/>
    <ds:schemaRef ds:uri="http://schemas.microsoft.com/office/infopath/2007/PartnerControls"/>
    <ds:schemaRef ds:uri="234f2fd1-cc24-4581-a534-8dbdab6aeace"/>
    <ds:schemaRef ds:uri="dc1477da-7d42-48a9-9520-67dbcc67deb8"/>
  </ds:schemaRefs>
</ds:datastoreItem>
</file>

<file path=customXml/itemProps2.xml><?xml version="1.0" encoding="utf-8"?>
<ds:datastoreItem xmlns:ds="http://schemas.openxmlformats.org/officeDocument/2006/customXml" ds:itemID="{133DAE63-C006-487B-ACD3-D74DB0EB73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1477da-7d42-48a9-9520-67dbcc67deb8"/>
    <ds:schemaRef ds:uri="234f2fd1-cc24-4581-a534-8dbdab6ae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F52A25-DAF1-4819-8061-9DE8DB2CDBF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Lista_materiales</vt:lpstr>
      <vt:lpstr>Detalles_proyecto</vt:lpstr>
      <vt:lpstr>Materiales</vt:lpstr>
      <vt:lpstr>Formulacion</vt:lpstr>
      <vt:lpstr>Imprimir</vt:lpstr>
      <vt:lpstr>Soluciones_composicion</vt:lpstr>
      <vt:lpstr>Soluciones_propiedades</vt:lpstr>
      <vt:lpstr>Setup</vt:lpstr>
      <vt:lpstr>Parametros_proceso</vt:lpstr>
      <vt:lpstr>Referencias</vt:lpstr>
      <vt:lpstr>Formulas_name</vt:lpstr>
      <vt:lpstr>lista_materiales_name</vt:lpstr>
      <vt:lpstr>Setup!LMP</vt:lpstr>
      <vt:lpstr>Soluciones_propiedades!LMP</vt:lpstr>
      <vt:lpstr>LMP</vt:lpstr>
      <vt:lpstr>Imprimir!Print_Area</vt:lpstr>
      <vt:lpstr>Setup_n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Chiva</dc:creator>
  <cp:keywords/>
  <dc:description/>
  <cp:lastModifiedBy>Santiago Estévez</cp:lastModifiedBy>
  <cp:revision/>
  <dcterms:created xsi:type="dcterms:W3CDTF">2019-05-30T11:04:29Z</dcterms:created>
  <dcterms:modified xsi:type="dcterms:W3CDTF">2026-07-09T06:51:18Z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0x010100320FEDAF317ECE47B903242BE85E6951</vt:lpwstr>
  </property>
  <property fmtid="{D5CDD505-2E9C-101B-9397-08002B2CF9AE}" pid="3" name="MediaServiceImageTags">
    <vt:lpwstr/>
  </property>
  <property fmtid="{D5CDD505-2E9C-101B-9397-08002B2CF9AE}" pid="4" name="Order">
    <vt:r8>20650500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